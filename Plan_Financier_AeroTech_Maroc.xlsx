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6A130CCC-A6FC-4350-9306-612DFED0CDC3}" xr6:coauthVersionLast="47" xr6:coauthVersionMax="47" xr10:uidLastSave="{00000000-0000-0000-0000-000000000000}"/>
  <bookViews>
    <workbookView xWindow="-120" yWindow="-120" windowWidth="29040" windowHeight="15720" tabRatio="500" activeTab="4" xr2:uid="{00000000-000D-0000-FFFF-FFFF00000000}"/>
  </bookViews>
  <sheets>
    <sheet name="Accueil" sheetId="1" r:id="rId1"/>
    <sheet name="Balance" sheetId="2" r:id="rId2"/>
    <sheet name="CPC" sheetId="3" r:id="rId3"/>
    <sheet name="ESG" sheetId="4" r:id="rId4"/>
    <sheet name="Reporting" sheetId="5" r:id="rId5"/>
    <sheet name="DASHBOARD" sheetId="6" r:id="rId6"/>
    <sheet name="Lecture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64" i="6" l="1"/>
  <c r="M63" i="6"/>
  <c r="M62" i="6"/>
  <c r="M61" i="6"/>
  <c r="M60" i="6"/>
  <c r="M59" i="6"/>
  <c r="M58" i="6"/>
  <c r="M57" i="6"/>
  <c r="M56" i="6"/>
  <c r="M55" i="6"/>
  <c r="M54" i="6"/>
  <c r="M53" i="6"/>
  <c r="N46" i="5"/>
  <c r="L46" i="5"/>
  <c r="J46" i="5"/>
  <c r="H46" i="5"/>
  <c r="F46" i="5"/>
  <c r="D46" i="5"/>
  <c r="Q45" i="5"/>
  <c r="O45" i="5"/>
  <c r="P45" i="5" s="1"/>
  <c r="N45" i="5"/>
  <c r="M45" i="5"/>
  <c r="L45" i="5"/>
  <c r="K45" i="5"/>
  <c r="J45" i="5"/>
  <c r="I45" i="5"/>
  <c r="H45" i="5"/>
  <c r="G45" i="5"/>
  <c r="F45" i="5"/>
  <c r="E45" i="5"/>
  <c r="D45" i="5"/>
  <c r="Q44" i="5"/>
  <c r="O44" i="5"/>
  <c r="N44" i="5"/>
  <c r="M44" i="5"/>
  <c r="L44" i="5"/>
  <c r="K44" i="5"/>
  <c r="J44" i="5"/>
  <c r="I44" i="5"/>
  <c r="H44" i="5"/>
  <c r="G44" i="5"/>
  <c r="F44" i="5"/>
  <c r="E44" i="5"/>
  <c r="D44" i="5"/>
  <c r="Q43" i="5"/>
  <c r="O43" i="5"/>
  <c r="P43" i="5" s="1"/>
  <c r="N43" i="5"/>
  <c r="M43" i="5"/>
  <c r="L43" i="5"/>
  <c r="K43" i="5"/>
  <c r="J43" i="5"/>
  <c r="I43" i="5"/>
  <c r="H43" i="5"/>
  <c r="G43" i="5"/>
  <c r="F43" i="5"/>
  <c r="E43" i="5"/>
  <c r="D43" i="5"/>
  <c r="Q42" i="5"/>
  <c r="P42" i="5"/>
  <c r="O42" i="5"/>
  <c r="N42" i="5"/>
  <c r="M42" i="5"/>
  <c r="M46" i="5" s="1"/>
  <c r="L42" i="5"/>
  <c r="K42" i="5"/>
  <c r="K46" i="5" s="1"/>
  <c r="J42" i="5"/>
  <c r="I42" i="5"/>
  <c r="H42" i="5"/>
  <c r="G42" i="5"/>
  <c r="F42" i="5"/>
  <c r="E42" i="5"/>
  <c r="E46" i="5" s="1"/>
  <c r="D42" i="5"/>
  <c r="Q41" i="5"/>
  <c r="O41" i="5"/>
  <c r="P41" i="5" s="1"/>
  <c r="N41" i="5"/>
  <c r="M41" i="5"/>
  <c r="L41" i="5"/>
  <c r="K41" i="5"/>
  <c r="J41" i="5"/>
  <c r="I41" i="5"/>
  <c r="H41" i="5"/>
  <c r="G41" i="5"/>
  <c r="F41" i="5"/>
  <c r="E41" i="5"/>
  <c r="D41" i="5"/>
  <c r="O40" i="5"/>
  <c r="O46" i="5" s="1"/>
  <c r="N40" i="5"/>
  <c r="M40" i="5"/>
  <c r="L40" i="5"/>
  <c r="K40" i="5"/>
  <c r="J40" i="5"/>
  <c r="I40" i="5"/>
  <c r="H40" i="5"/>
  <c r="G40" i="5"/>
  <c r="F40" i="5"/>
  <c r="E40" i="5"/>
  <c r="D40" i="5"/>
  <c r="N38" i="5"/>
  <c r="N39" i="5" s="1"/>
  <c r="M38" i="5"/>
  <c r="M39" i="5" s="1"/>
  <c r="K38" i="5"/>
  <c r="K39" i="5" s="1"/>
  <c r="Q37" i="5"/>
  <c r="O37" i="5"/>
  <c r="P37" i="5" s="1"/>
  <c r="N37" i="5"/>
  <c r="M37" i="5"/>
  <c r="L37" i="5"/>
  <c r="K37" i="5"/>
  <c r="J37" i="5"/>
  <c r="I37" i="5"/>
  <c r="H37" i="5"/>
  <c r="G37" i="5"/>
  <c r="F37" i="5"/>
  <c r="E37" i="5"/>
  <c r="D37" i="5"/>
  <c r="K33" i="5"/>
  <c r="H33" i="5"/>
  <c r="Q25" i="5"/>
  <c r="O25" i="5"/>
  <c r="N25" i="5"/>
  <c r="M25" i="5"/>
  <c r="L25" i="5"/>
  <c r="K25" i="5"/>
  <c r="J25" i="5"/>
  <c r="I25" i="5"/>
  <c r="H25" i="5"/>
  <c r="G25" i="5"/>
  <c r="F25" i="5"/>
  <c r="E25" i="5"/>
  <c r="P25" i="5" s="1"/>
  <c r="D25" i="5"/>
  <c r="O22" i="5"/>
  <c r="Q22" i="5" s="1"/>
  <c r="N22" i="5"/>
  <c r="M22" i="5"/>
  <c r="L22" i="5"/>
  <c r="K22" i="5"/>
  <c r="J22" i="5"/>
  <c r="I22" i="5"/>
  <c r="H22" i="5"/>
  <c r="G22" i="5"/>
  <c r="F22" i="5"/>
  <c r="E22" i="5"/>
  <c r="D22" i="5"/>
  <c r="O40" i="4"/>
  <c r="D40" i="4"/>
  <c r="N38" i="4"/>
  <c r="G38" i="4"/>
  <c r="E38" i="4"/>
  <c r="N37" i="4"/>
  <c r="O36" i="4"/>
  <c r="N36" i="4"/>
  <c r="M36" i="4"/>
  <c r="L36" i="4"/>
  <c r="K36" i="4"/>
  <c r="J36" i="4"/>
  <c r="I36" i="4"/>
  <c r="H36" i="4"/>
  <c r="P36" i="4" s="1"/>
  <c r="G36" i="4"/>
  <c r="F36" i="4"/>
  <c r="E36" i="4"/>
  <c r="D36" i="4"/>
  <c r="M35" i="4"/>
  <c r="K35" i="4"/>
  <c r="E35" i="4"/>
  <c r="D35" i="4"/>
  <c r="M34" i="4"/>
  <c r="O33" i="4"/>
  <c r="N33" i="4"/>
  <c r="M33" i="4"/>
  <c r="L33" i="4"/>
  <c r="K33" i="4"/>
  <c r="J33" i="4"/>
  <c r="I33" i="4"/>
  <c r="H33" i="4"/>
  <c r="G33" i="4"/>
  <c r="F33" i="4"/>
  <c r="P33" i="4" s="1"/>
  <c r="E33" i="4"/>
  <c r="D33" i="4"/>
  <c r="E29" i="4"/>
  <c r="D29" i="4"/>
  <c r="E24" i="4"/>
  <c r="F23" i="4"/>
  <c r="E23" i="4"/>
  <c r="D23" i="4"/>
  <c r="H22" i="4"/>
  <c r="H21" i="4"/>
  <c r="G21" i="4"/>
  <c r="E21" i="4"/>
  <c r="G19" i="4"/>
  <c r="K18" i="4"/>
  <c r="I18" i="4"/>
  <c r="G18" i="4"/>
  <c r="J17" i="4"/>
  <c r="M14" i="4"/>
  <c r="M15" i="4" s="1"/>
  <c r="M13" i="4"/>
  <c r="L13" i="4"/>
  <c r="D11" i="4"/>
  <c r="H10" i="4"/>
  <c r="G10" i="4"/>
  <c r="J9" i="4"/>
  <c r="I9" i="4"/>
  <c r="O7" i="4"/>
  <c r="O6" i="4"/>
  <c r="G6" i="4"/>
  <c r="O54" i="3"/>
  <c r="O29" i="4" s="1"/>
  <c r="N54" i="3"/>
  <c r="N29" i="4" s="1"/>
  <c r="M54" i="3"/>
  <c r="M29" i="4" s="1"/>
  <c r="L54" i="3"/>
  <c r="L29" i="4" s="1"/>
  <c r="K54" i="3"/>
  <c r="K29" i="4" s="1"/>
  <c r="J54" i="3"/>
  <c r="J29" i="4" s="1"/>
  <c r="I54" i="3"/>
  <c r="I29" i="4" s="1"/>
  <c r="H54" i="3"/>
  <c r="H29" i="4" s="1"/>
  <c r="G54" i="3"/>
  <c r="G29" i="4" s="1"/>
  <c r="F54" i="3"/>
  <c r="F29" i="4" s="1"/>
  <c r="E54" i="3"/>
  <c r="D54" i="3"/>
  <c r="J51" i="3"/>
  <c r="O50" i="3"/>
  <c r="O35" i="4" s="1"/>
  <c r="N50" i="3"/>
  <c r="N35" i="4" s="1"/>
  <c r="M50" i="3"/>
  <c r="L50" i="3"/>
  <c r="L35" i="4" s="1"/>
  <c r="K50" i="3"/>
  <c r="J50" i="3"/>
  <c r="J35" i="4" s="1"/>
  <c r="I50" i="3"/>
  <c r="I35" i="4" s="1"/>
  <c r="H50" i="3"/>
  <c r="H35" i="4" s="1"/>
  <c r="G50" i="3"/>
  <c r="G35" i="4" s="1"/>
  <c r="F50" i="3"/>
  <c r="F35" i="4" s="1"/>
  <c r="E50" i="3"/>
  <c r="D50" i="3"/>
  <c r="O49" i="3"/>
  <c r="N49" i="3"/>
  <c r="M49" i="3"/>
  <c r="L49" i="3"/>
  <c r="L51" i="3" s="1"/>
  <c r="K49" i="3"/>
  <c r="J49" i="3"/>
  <c r="I49" i="3"/>
  <c r="H49" i="3"/>
  <c r="G49" i="3"/>
  <c r="F49" i="3"/>
  <c r="E49" i="3"/>
  <c r="D49" i="3"/>
  <c r="D51" i="3" s="1"/>
  <c r="O48" i="3"/>
  <c r="N48" i="3"/>
  <c r="M48" i="3"/>
  <c r="L48" i="3"/>
  <c r="K48" i="3"/>
  <c r="J48" i="3"/>
  <c r="I48" i="3"/>
  <c r="H48" i="3"/>
  <c r="P48" i="3" s="1"/>
  <c r="G48" i="3"/>
  <c r="G51" i="3" s="1"/>
  <c r="F48" i="3"/>
  <c r="E48" i="3"/>
  <c r="D48" i="3"/>
  <c r="O47" i="3"/>
  <c r="N47" i="3"/>
  <c r="M47" i="3"/>
  <c r="M40" i="4" s="1"/>
  <c r="L47" i="3"/>
  <c r="L40" i="4" s="1"/>
  <c r="K47" i="3"/>
  <c r="J47" i="3"/>
  <c r="J40" i="4" s="1"/>
  <c r="I47" i="3"/>
  <c r="I40" i="4" s="1"/>
  <c r="H47" i="3"/>
  <c r="H40" i="4" s="1"/>
  <c r="G47" i="3"/>
  <c r="G40" i="4" s="1"/>
  <c r="F47" i="3"/>
  <c r="E47" i="3"/>
  <c r="D47" i="3"/>
  <c r="O44" i="3"/>
  <c r="O38" i="4" s="1"/>
  <c r="N44" i="3"/>
  <c r="M44" i="3"/>
  <c r="M38" i="4" s="1"/>
  <c r="L44" i="3"/>
  <c r="L38" i="4" s="1"/>
  <c r="K44" i="3"/>
  <c r="K38" i="4" s="1"/>
  <c r="J44" i="3"/>
  <c r="J38" i="4" s="1"/>
  <c r="I44" i="3"/>
  <c r="I38" i="4" s="1"/>
  <c r="H44" i="3"/>
  <c r="H38" i="4" s="1"/>
  <c r="G44" i="3"/>
  <c r="F44" i="3"/>
  <c r="F38" i="4" s="1"/>
  <c r="E44" i="3"/>
  <c r="D44" i="3"/>
  <c r="D38" i="4" s="1"/>
  <c r="O43" i="3"/>
  <c r="N43" i="3"/>
  <c r="M43" i="3"/>
  <c r="L43" i="3"/>
  <c r="K43" i="3"/>
  <c r="J43" i="3"/>
  <c r="I43" i="3"/>
  <c r="H43" i="3"/>
  <c r="G43" i="3"/>
  <c r="F43" i="3"/>
  <c r="E43" i="3"/>
  <c r="D43" i="3"/>
  <c r="P43" i="3" s="1"/>
  <c r="O42" i="3"/>
  <c r="N42" i="3"/>
  <c r="M42" i="3"/>
  <c r="L42" i="3"/>
  <c r="K42" i="3"/>
  <c r="K45" i="3" s="1"/>
  <c r="J42" i="3"/>
  <c r="J45" i="3" s="1"/>
  <c r="J52" i="3" s="1"/>
  <c r="J28" i="4" s="1"/>
  <c r="I42" i="3"/>
  <c r="H42" i="3"/>
  <c r="G42" i="3"/>
  <c r="F42" i="3"/>
  <c r="E42" i="3"/>
  <c r="D42" i="3"/>
  <c r="O41" i="3"/>
  <c r="N41" i="3"/>
  <c r="M41" i="3"/>
  <c r="L41" i="3"/>
  <c r="K41" i="3"/>
  <c r="J41" i="3"/>
  <c r="I41" i="3"/>
  <c r="H41" i="3"/>
  <c r="P41" i="3" s="1"/>
  <c r="G41" i="3"/>
  <c r="F41" i="3"/>
  <c r="E41" i="3"/>
  <c r="D41" i="3"/>
  <c r="O40" i="3"/>
  <c r="O39" i="4" s="1"/>
  <c r="N40" i="3"/>
  <c r="M40" i="3"/>
  <c r="L40" i="3"/>
  <c r="L45" i="3" s="1"/>
  <c r="K40" i="3"/>
  <c r="K39" i="4" s="1"/>
  <c r="J40" i="3"/>
  <c r="J39" i="4" s="1"/>
  <c r="I40" i="3"/>
  <c r="I39" i="4" s="1"/>
  <c r="H40" i="3"/>
  <c r="H39" i="4" s="1"/>
  <c r="G40" i="3"/>
  <c r="G39" i="4" s="1"/>
  <c r="F40" i="3"/>
  <c r="E40" i="3"/>
  <c r="D40" i="3"/>
  <c r="N37" i="3"/>
  <c r="N26" i="4" s="1"/>
  <c r="M36" i="3"/>
  <c r="K36" i="3"/>
  <c r="O35" i="3"/>
  <c r="O34" i="4" s="1"/>
  <c r="N35" i="3"/>
  <c r="N34" i="4" s="1"/>
  <c r="M35" i="3"/>
  <c r="L35" i="3"/>
  <c r="L34" i="4" s="1"/>
  <c r="K35" i="3"/>
  <c r="K34" i="4" s="1"/>
  <c r="J35" i="3"/>
  <c r="J34" i="4" s="1"/>
  <c r="I35" i="3"/>
  <c r="I34" i="4" s="1"/>
  <c r="H35" i="3"/>
  <c r="H34" i="4" s="1"/>
  <c r="G35" i="3"/>
  <c r="G34" i="4" s="1"/>
  <c r="F35" i="3"/>
  <c r="F34" i="4" s="1"/>
  <c r="E35" i="3"/>
  <c r="E34" i="4" s="1"/>
  <c r="D35" i="3"/>
  <c r="D34" i="4" s="1"/>
  <c r="P34" i="4" s="1"/>
  <c r="O34" i="3"/>
  <c r="N34" i="3"/>
  <c r="M34" i="3"/>
  <c r="L34" i="3"/>
  <c r="K34" i="3"/>
  <c r="J34" i="3"/>
  <c r="I34" i="3"/>
  <c r="H34" i="3"/>
  <c r="G34" i="3"/>
  <c r="F34" i="3"/>
  <c r="E34" i="3"/>
  <c r="E36" i="3" s="1"/>
  <c r="D34" i="3"/>
  <c r="O33" i="3"/>
  <c r="N33" i="3"/>
  <c r="M33" i="3"/>
  <c r="L33" i="3"/>
  <c r="L36" i="3" s="1"/>
  <c r="K33" i="3"/>
  <c r="J33" i="3"/>
  <c r="J36" i="3" s="1"/>
  <c r="I33" i="3"/>
  <c r="H33" i="3"/>
  <c r="G33" i="3"/>
  <c r="F33" i="3"/>
  <c r="E33" i="3"/>
  <c r="D33" i="3"/>
  <c r="P33" i="3" s="1"/>
  <c r="O32" i="3"/>
  <c r="N32" i="3"/>
  <c r="N36" i="3" s="1"/>
  <c r="M32" i="3"/>
  <c r="L32" i="3"/>
  <c r="L38" i="5" s="1"/>
  <c r="L39" i="5" s="1"/>
  <c r="K32" i="3"/>
  <c r="J32" i="3"/>
  <c r="J38" i="5" s="1"/>
  <c r="J39" i="5" s="1"/>
  <c r="I32" i="3"/>
  <c r="H32" i="3"/>
  <c r="G32" i="3"/>
  <c r="F32" i="3"/>
  <c r="E32" i="3"/>
  <c r="E38" i="5" s="1"/>
  <c r="E39" i="5" s="1"/>
  <c r="D32" i="3"/>
  <c r="D38" i="5" s="1"/>
  <c r="N30" i="3"/>
  <c r="M30" i="3"/>
  <c r="M37" i="3" s="1"/>
  <c r="M26" i="4" s="1"/>
  <c r="L30" i="3"/>
  <c r="O29" i="3"/>
  <c r="O37" i="4" s="1"/>
  <c r="N29" i="3"/>
  <c r="M29" i="3"/>
  <c r="M37" i="4" s="1"/>
  <c r="L29" i="3"/>
  <c r="L37" i="4" s="1"/>
  <c r="K29" i="3"/>
  <c r="K37" i="4" s="1"/>
  <c r="J29" i="3"/>
  <c r="J37" i="4" s="1"/>
  <c r="I29" i="3"/>
  <c r="I37" i="4" s="1"/>
  <c r="H29" i="3"/>
  <c r="H37" i="4" s="1"/>
  <c r="G29" i="3"/>
  <c r="G37" i="4" s="1"/>
  <c r="F29" i="3"/>
  <c r="F37" i="4" s="1"/>
  <c r="E29" i="3"/>
  <c r="E37" i="4" s="1"/>
  <c r="D29" i="3"/>
  <c r="D37" i="4" s="1"/>
  <c r="O28" i="3"/>
  <c r="N28" i="3"/>
  <c r="M28" i="3"/>
  <c r="L28" i="3"/>
  <c r="K28" i="3"/>
  <c r="J28" i="3"/>
  <c r="I28" i="3"/>
  <c r="H28" i="3"/>
  <c r="G28" i="3"/>
  <c r="F28" i="3"/>
  <c r="F30" i="3" s="1"/>
  <c r="E28" i="3"/>
  <c r="P28" i="3" s="1"/>
  <c r="D28" i="3"/>
  <c r="O27" i="3"/>
  <c r="O33" i="5" s="1"/>
  <c r="Q33" i="5" s="1"/>
  <c r="N27" i="3"/>
  <c r="N33" i="5" s="1"/>
  <c r="M27" i="3"/>
  <c r="M33" i="5" s="1"/>
  <c r="L27" i="3"/>
  <c r="K27" i="3"/>
  <c r="K30" i="3" s="1"/>
  <c r="K37" i="3" s="1"/>
  <c r="K26" i="4" s="1"/>
  <c r="J27" i="3"/>
  <c r="J33" i="5" s="1"/>
  <c r="I27" i="3"/>
  <c r="H27" i="3"/>
  <c r="G27" i="3"/>
  <c r="G33" i="5" s="1"/>
  <c r="F27" i="3"/>
  <c r="F33" i="5" s="1"/>
  <c r="E27" i="3"/>
  <c r="E33" i="5" s="1"/>
  <c r="D27" i="3"/>
  <c r="D30" i="3" s="1"/>
  <c r="O26" i="3"/>
  <c r="N26" i="3"/>
  <c r="M26" i="3"/>
  <c r="L26" i="3"/>
  <c r="K26" i="3"/>
  <c r="J26" i="3"/>
  <c r="I26" i="3"/>
  <c r="I30" i="3" s="1"/>
  <c r="H26" i="3"/>
  <c r="G26" i="3"/>
  <c r="F26" i="3"/>
  <c r="E26" i="3"/>
  <c r="D26" i="3"/>
  <c r="L23" i="3"/>
  <c r="L57" i="3" s="1"/>
  <c r="O22" i="3"/>
  <c r="O24" i="4" s="1"/>
  <c r="N22" i="3"/>
  <c r="N24" i="4" s="1"/>
  <c r="M22" i="3"/>
  <c r="M24" i="4" s="1"/>
  <c r="L22" i="3"/>
  <c r="L24" i="4" s="1"/>
  <c r="K22" i="3"/>
  <c r="K24" i="4" s="1"/>
  <c r="J22" i="3"/>
  <c r="J24" i="4" s="1"/>
  <c r="I22" i="3"/>
  <c r="I24" i="4" s="1"/>
  <c r="H22" i="3"/>
  <c r="H24" i="4" s="1"/>
  <c r="G22" i="3"/>
  <c r="G24" i="4" s="1"/>
  <c r="F22" i="3"/>
  <c r="P22" i="3" s="1"/>
  <c r="E22" i="3"/>
  <c r="D22" i="3"/>
  <c r="D24" i="4" s="1"/>
  <c r="O21" i="3"/>
  <c r="O22" i="4" s="1"/>
  <c r="N21" i="3"/>
  <c r="N22" i="4" s="1"/>
  <c r="M21" i="3"/>
  <c r="M22" i="4" s="1"/>
  <c r="L21" i="3"/>
  <c r="L22" i="4" s="1"/>
  <c r="K21" i="3"/>
  <c r="K22" i="4" s="1"/>
  <c r="J21" i="3"/>
  <c r="J22" i="4" s="1"/>
  <c r="I21" i="3"/>
  <c r="I22" i="4" s="1"/>
  <c r="H21" i="3"/>
  <c r="G21" i="3"/>
  <c r="G22" i="4" s="1"/>
  <c r="F21" i="3"/>
  <c r="F22" i="4" s="1"/>
  <c r="E21" i="3"/>
  <c r="E22" i="4" s="1"/>
  <c r="D21" i="3"/>
  <c r="O20" i="3"/>
  <c r="O19" i="4" s="1"/>
  <c r="N20" i="3"/>
  <c r="M20" i="3"/>
  <c r="L20" i="3"/>
  <c r="K20" i="3"/>
  <c r="J20" i="3"/>
  <c r="I20" i="3"/>
  <c r="H20" i="3"/>
  <c r="G20" i="3"/>
  <c r="F20" i="3"/>
  <c r="E20" i="3"/>
  <c r="D20" i="3"/>
  <c r="O19" i="3"/>
  <c r="O18" i="4" s="1"/>
  <c r="N19" i="3"/>
  <c r="N18" i="4" s="1"/>
  <c r="M19" i="3"/>
  <c r="M18" i="4" s="1"/>
  <c r="L19" i="3"/>
  <c r="L18" i="4" s="1"/>
  <c r="K19" i="3"/>
  <c r="J19" i="3"/>
  <c r="J18" i="4" s="1"/>
  <c r="I19" i="3"/>
  <c r="H19" i="3"/>
  <c r="H18" i="4" s="1"/>
  <c r="G19" i="3"/>
  <c r="F19" i="3"/>
  <c r="F18" i="4" s="1"/>
  <c r="E19" i="3"/>
  <c r="E18" i="4" s="1"/>
  <c r="D19" i="3"/>
  <c r="D18" i="4" s="1"/>
  <c r="P18" i="4" s="1"/>
  <c r="O18" i="3"/>
  <c r="N18" i="3"/>
  <c r="N14" i="4" s="1"/>
  <c r="M18" i="3"/>
  <c r="L18" i="3"/>
  <c r="K18" i="3"/>
  <c r="J18" i="3"/>
  <c r="I18" i="3"/>
  <c r="H18" i="3"/>
  <c r="G18" i="3"/>
  <c r="F18" i="3"/>
  <c r="F14" i="4" s="1"/>
  <c r="E18" i="3"/>
  <c r="D18" i="3"/>
  <c r="O17" i="3"/>
  <c r="O13" i="4" s="1"/>
  <c r="N17" i="3"/>
  <c r="N13" i="4" s="1"/>
  <c r="N15" i="4" s="1"/>
  <c r="M17" i="3"/>
  <c r="L17" i="3"/>
  <c r="K17" i="3"/>
  <c r="K13" i="4" s="1"/>
  <c r="J17" i="3"/>
  <c r="J13" i="4" s="1"/>
  <c r="I17" i="3"/>
  <c r="I13" i="4" s="1"/>
  <c r="H17" i="3"/>
  <c r="H13" i="4" s="1"/>
  <c r="G17" i="3"/>
  <c r="G13" i="4" s="1"/>
  <c r="F17" i="3"/>
  <c r="F13" i="4" s="1"/>
  <c r="F15" i="4" s="1"/>
  <c r="E17" i="3"/>
  <c r="E13" i="4" s="1"/>
  <c r="D17" i="3"/>
  <c r="D13" i="4" s="1"/>
  <c r="O16" i="3"/>
  <c r="N16" i="3"/>
  <c r="M16" i="3"/>
  <c r="L16" i="3"/>
  <c r="L48" i="5" s="1"/>
  <c r="H61" i="6" s="1"/>
  <c r="K16" i="3"/>
  <c r="J16" i="3"/>
  <c r="I16" i="3"/>
  <c r="I7" i="4" s="1"/>
  <c r="H16" i="3"/>
  <c r="G16" i="3"/>
  <c r="F16" i="3"/>
  <c r="E16" i="3"/>
  <c r="D16" i="3"/>
  <c r="J14" i="3"/>
  <c r="I14" i="3"/>
  <c r="O13" i="3"/>
  <c r="O23" i="4" s="1"/>
  <c r="N13" i="3"/>
  <c r="N23" i="4" s="1"/>
  <c r="M13" i="3"/>
  <c r="M23" i="4" s="1"/>
  <c r="L13" i="3"/>
  <c r="L23" i="4" s="1"/>
  <c r="K13" i="3"/>
  <c r="K23" i="4" s="1"/>
  <c r="J13" i="3"/>
  <c r="J23" i="4" s="1"/>
  <c r="I13" i="3"/>
  <c r="I23" i="4" s="1"/>
  <c r="H13" i="3"/>
  <c r="H23" i="4" s="1"/>
  <c r="G13" i="3"/>
  <c r="G23" i="4" s="1"/>
  <c r="F13" i="3"/>
  <c r="P13" i="3" s="1"/>
  <c r="E13" i="3"/>
  <c r="D13" i="3"/>
  <c r="O12" i="3"/>
  <c r="O21" i="4" s="1"/>
  <c r="N12" i="3"/>
  <c r="N21" i="4" s="1"/>
  <c r="M12" i="3"/>
  <c r="M21" i="4" s="1"/>
  <c r="L12" i="3"/>
  <c r="L21" i="4" s="1"/>
  <c r="K12" i="3"/>
  <c r="K21" i="4" s="1"/>
  <c r="J12" i="3"/>
  <c r="J21" i="4" s="1"/>
  <c r="I12" i="3"/>
  <c r="I21" i="4" s="1"/>
  <c r="H12" i="3"/>
  <c r="G12" i="3"/>
  <c r="F12" i="3"/>
  <c r="F21" i="4" s="1"/>
  <c r="E12" i="3"/>
  <c r="D12" i="3"/>
  <c r="O11" i="3"/>
  <c r="O17" i="4" s="1"/>
  <c r="N11" i="3"/>
  <c r="N17" i="4" s="1"/>
  <c r="M11" i="3"/>
  <c r="M17" i="4" s="1"/>
  <c r="L11" i="3"/>
  <c r="L17" i="4" s="1"/>
  <c r="K11" i="3"/>
  <c r="K14" i="3" s="1"/>
  <c r="J11" i="3"/>
  <c r="I11" i="3"/>
  <c r="I17" i="4" s="1"/>
  <c r="H11" i="3"/>
  <c r="H17" i="4" s="1"/>
  <c r="G11" i="3"/>
  <c r="G17" i="4" s="1"/>
  <c r="F11" i="3"/>
  <c r="F17" i="4" s="1"/>
  <c r="E11" i="3"/>
  <c r="E17" i="4" s="1"/>
  <c r="D11" i="3"/>
  <c r="D17" i="4" s="1"/>
  <c r="O10" i="3"/>
  <c r="O11" i="4" s="1"/>
  <c r="O12" i="4" s="1"/>
  <c r="N10" i="3"/>
  <c r="N11" i="4" s="1"/>
  <c r="N12" i="4" s="1"/>
  <c r="M10" i="3"/>
  <c r="M11" i="4" s="1"/>
  <c r="L10" i="3"/>
  <c r="L11" i="4" s="1"/>
  <c r="K10" i="3"/>
  <c r="K11" i="4" s="1"/>
  <c r="J10" i="3"/>
  <c r="J11" i="4" s="1"/>
  <c r="I10" i="3"/>
  <c r="I11" i="4" s="1"/>
  <c r="H10" i="3"/>
  <c r="H11" i="4" s="1"/>
  <c r="G10" i="3"/>
  <c r="G11" i="4" s="1"/>
  <c r="F10" i="3"/>
  <c r="F11" i="4" s="1"/>
  <c r="E10" i="3"/>
  <c r="E11" i="4" s="1"/>
  <c r="D10" i="3"/>
  <c r="O9" i="3"/>
  <c r="O10" i="4" s="1"/>
  <c r="N9" i="3"/>
  <c r="N10" i="4" s="1"/>
  <c r="M9" i="3"/>
  <c r="M10" i="4" s="1"/>
  <c r="L9" i="3"/>
  <c r="L10" i="4" s="1"/>
  <c r="L12" i="4" s="1"/>
  <c r="K9" i="3"/>
  <c r="K10" i="4" s="1"/>
  <c r="J9" i="3"/>
  <c r="J10" i="4" s="1"/>
  <c r="I9" i="3"/>
  <c r="I10" i="4" s="1"/>
  <c r="H9" i="3"/>
  <c r="G9" i="3"/>
  <c r="F9" i="3"/>
  <c r="F10" i="4" s="1"/>
  <c r="E9" i="3"/>
  <c r="E10" i="4" s="1"/>
  <c r="D9" i="3"/>
  <c r="O8" i="3"/>
  <c r="K8" i="3"/>
  <c r="K11" i="5" s="1"/>
  <c r="J8" i="3"/>
  <c r="J11" i="5" s="1"/>
  <c r="I8" i="3"/>
  <c r="I11" i="5" s="1"/>
  <c r="G8" i="3"/>
  <c r="O7" i="3"/>
  <c r="O9" i="4" s="1"/>
  <c r="N7" i="3"/>
  <c r="N9" i="4" s="1"/>
  <c r="M7" i="3"/>
  <c r="M9" i="4" s="1"/>
  <c r="L7" i="3"/>
  <c r="L9" i="4" s="1"/>
  <c r="K7" i="3"/>
  <c r="K9" i="4" s="1"/>
  <c r="K12" i="4" s="1"/>
  <c r="J7" i="3"/>
  <c r="I7" i="3"/>
  <c r="H7" i="3"/>
  <c r="P7" i="3" s="1"/>
  <c r="G7" i="3"/>
  <c r="G9" i="4" s="1"/>
  <c r="F7" i="3"/>
  <c r="F9" i="4" s="1"/>
  <c r="E7" i="3"/>
  <c r="E9" i="4" s="1"/>
  <c r="D7" i="3"/>
  <c r="D9" i="4" s="1"/>
  <c r="O6" i="3"/>
  <c r="N6" i="3"/>
  <c r="N6" i="4" s="1"/>
  <c r="M6" i="3"/>
  <c r="L6" i="3"/>
  <c r="K6" i="3"/>
  <c r="K6" i="4" s="1"/>
  <c r="J6" i="3"/>
  <c r="J6" i="4" s="1"/>
  <c r="I6" i="3"/>
  <c r="I6" i="4" s="1"/>
  <c r="I8" i="4" s="1"/>
  <c r="H6" i="3"/>
  <c r="H6" i="4" s="1"/>
  <c r="G6" i="3"/>
  <c r="F6" i="3"/>
  <c r="F6" i="4" s="1"/>
  <c r="E6" i="3"/>
  <c r="E8" i="3" s="1"/>
  <c r="D6" i="3"/>
  <c r="D6" i="4" s="1"/>
  <c r="R81" i="2"/>
  <c r="P22" i="5" s="1"/>
  <c r="L77" i="2"/>
  <c r="K77" i="2"/>
  <c r="J77" i="2"/>
  <c r="I77" i="2"/>
  <c r="H77" i="2"/>
  <c r="R75" i="2"/>
  <c r="C75" i="2"/>
  <c r="R74" i="2"/>
  <c r="C74" i="2"/>
  <c r="R73" i="2"/>
  <c r="C73" i="2"/>
  <c r="R72" i="2"/>
  <c r="C72" i="2"/>
  <c r="R71" i="2"/>
  <c r="C71" i="2"/>
  <c r="R70" i="2"/>
  <c r="C70" i="2"/>
  <c r="R69" i="2"/>
  <c r="C69" i="2"/>
  <c r="R68" i="2"/>
  <c r="C68" i="2"/>
  <c r="R67" i="2"/>
  <c r="C67" i="2"/>
  <c r="R66" i="2"/>
  <c r="C66" i="2"/>
  <c r="R65" i="2"/>
  <c r="C65" i="2"/>
  <c r="R64" i="2"/>
  <c r="C64" i="2"/>
  <c r="R62" i="2"/>
  <c r="C62" i="2"/>
  <c r="R61" i="2"/>
  <c r="C61" i="2"/>
  <c r="R60" i="2"/>
  <c r="C60" i="2"/>
  <c r="R59" i="2"/>
  <c r="C59" i="2"/>
  <c r="R58" i="2"/>
  <c r="C58" i="2"/>
  <c r="R57" i="2"/>
  <c r="C57" i="2"/>
  <c r="R56" i="2"/>
  <c r="C56" i="2"/>
  <c r="R55" i="2"/>
  <c r="C55" i="2"/>
  <c r="R54" i="2"/>
  <c r="C54" i="2"/>
  <c r="R53" i="2"/>
  <c r="C53" i="2"/>
  <c r="R52" i="2"/>
  <c r="C52" i="2"/>
  <c r="R51" i="2"/>
  <c r="C51" i="2"/>
  <c r="R50" i="2"/>
  <c r="C50" i="2"/>
  <c r="R49" i="2"/>
  <c r="C49" i="2"/>
  <c r="R48" i="2"/>
  <c r="C48" i="2"/>
  <c r="R47" i="2"/>
  <c r="C47" i="2"/>
  <c r="R46" i="2"/>
  <c r="C46" i="2"/>
  <c r="R45" i="2"/>
  <c r="C45" i="2"/>
  <c r="R44" i="2"/>
  <c r="C44" i="2"/>
  <c r="R43" i="2"/>
  <c r="C43" i="2"/>
  <c r="R42" i="2"/>
  <c r="C42" i="2"/>
  <c r="R41" i="2"/>
  <c r="C41" i="2"/>
  <c r="R40" i="2"/>
  <c r="C40" i="2"/>
  <c r="R39" i="2"/>
  <c r="C39" i="2"/>
  <c r="R38" i="2"/>
  <c r="C38" i="2"/>
  <c r="R37" i="2"/>
  <c r="C37" i="2"/>
  <c r="R35" i="2"/>
  <c r="C35" i="2"/>
  <c r="R34" i="2"/>
  <c r="C34" i="2"/>
  <c r="R32" i="2"/>
  <c r="C32" i="2"/>
  <c r="R31" i="2"/>
  <c r="C31" i="2"/>
  <c r="R30" i="2"/>
  <c r="C30" i="2"/>
  <c r="R29" i="2"/>
  <c r="C29" i="2"/>
  <c r="R28" i="2"/>
  <c r="C28" i="2"/>
  <c r="R26" i="2"/>
  <c r="C26" i="2"/>
  <c r="R25" i="2"/>
  <c r="C25" i="2"/>
  <c r="R24" i="2"/>
  <c r="C24" i="2"/>
  <c r="R23" i="2"/>
  <c r="C23" i="2"/>
  <c r="R22" i="2"/>
  <c r="C22" i="2"/>
  <c r="R21" i="2"/>
  <c r="C21" i="2"/>
  <c r="R19" i="2"/>
  <c r="C19" i="2"/>
  <c r="R18" i="2"/>
  <c r="C18" i="2"/>
  <c r="R17" i="2"/>
  <c r="C17" i="2"/>
  <c r="R16" i="2"/>
  <c r="C16" i="2"/>
  <c r="R15" i="2"/>
  <c r="C15" i="2"/>
  <c r="R14" i="2"/>
  <c r="C14" i="2"/>
  <c r="R13" i="2"/>
  <c r="C13" i="2"/>
  <c r="R12" i="2"/>
  <c r="C12" i="2"/>
  <c r="R10" i="2"/>
  <c r="C10" i="2"/>
  <c r="R9" i="2"/>
  <c r="C9" i="2"/>
  <c r="R8" i="2"/>
  <c r="C8" i="2"/>
  <c r="R7" i="2"/>
  <c r="C7" i="2"/>
  <c r="O77" i="2" s="1"/>
  <c r="F37" i="3" l="1"/>
  <c r="F26" i="4" s="1"/>
  <c r="C60" i="6"/>
  <c r="L60" i="6" s="1"/>
  <c r="K49" i="5"/>
  <c r="K12" i="5"/>
  <c r="N26" i="5"/>
  <c r="N29" i="5"/>
  <c r="K56" i="3"/>
  <c r="D37" i="3"/>
  <c r="L29" i="5"/>
  <c r="L26" i="5"/>
  <c r="O26" i="5"/>
  <c r="Q26" i="5" s="1"/>
  <c r="O29" i="5"/>
  <c r="Q29" i="5" s="1"/>
  <c r="L52" i="3"/>
  <c r="L28" i="4" s="1"/>
  <c r="P11" i="4"/>
  <c r="D10" i="4"/>
  <c r="P10" i="4" s="1"/>
  <c r="P9" i="3"/>
  <c r="I38" i="5"/>
  <c r="I39" i="5" s="1"/>
  <c r="I36" i="3"/>
  <c r="P21" i="3"/>
  <c r="P29" i="3"/>
  <c r="E51" i="3"/>
  <c r="P47" i="3"/>
  <c r="J49" i="5"/>
  <c r="J47" i="5"/>
  <c r="C59" i="6"/>
  <c r="L59" i="6" s="1"/>
  <c r="J12" i="5"/>
  <c r="D48" i="5"/>
  <c r="H53" i="6" s="1"/>
  <c r="P16" i="3"/>
  <c r="P48" i="5" s="1"/>
  <c r="K24" i="5"/>
  <c r="J19" i="5"/>
  <c r="D23" i="3"/>
  <c r="G30" i="3"/>
  <c r="G37" i="3" s="1"/>
  <c r="G26" i="4" s="1"/>
  <c r="O30" i="3"/>
  <c r="O37" i="3" s="1"/>
  <c r="O26" i="4" s="1"/>
  <c r="P34" i="3"/>
  <c r="P35" i="3"/>
  <c r="F51" i="3"/>
  <c r="F40" i="4"/>
  <c r="N40" i="4"/>
  <c r="N51" i="3"/>
  <c r="P54" i="3"/>
  <c r="H9" i="4"/>
  <c r="H12" i="4" s="1"/>
  <c r="P29" i="4"/>
  <c r="P6" i="3"/>
  <c r="D8" i="3"/>
  <c r="D39" i="4"/>
  <c r="P40" i="3"/>
  <c r="M6" i="4"/>
  <c r="M8" i="3"/>
  <c r="G11" i="5"/>
  <c r="G14" i="3"/>
  <c r="M39" i="4"/>
  <c r="M45" i="3"/>
  <c r="M52" i="3" s="1"/>
  <c r="M28" i="4" s="1"/>
  <c r="K29" i="5"/>
  <c r="K26" i="5"/>
  <c r="C58" i="6"/>
  <c r="L58" i="6" s="1"/>
  <c r="E7" i="4"/>
  <c r="E23" i="3"/>
  <c r="E57" i="3" s="1"/>
  <c r="P19" i="3"/>
  <c r="I23" i="3"/>
  <c r="I57" i="3" s="1"/>
  <c r="E30" i="3"/>
  <c r="E37" i="3" s="1"/>
  <c r="E26" i="4" s="1"/>
  <c r="F38" i="5"/>
  <c r="F39" i="5" s="1"/>
  <c r="F36" i="3"/>
  <c r="D36" i="3"/>
  <c r="P44" i="3"/>
  <c r="D7" i="4"/>
  <c r="I12" i="4"/>
  <c r="L39" i="4"/>
  <c r="L6" i="4"/>
  <c r="L8" i="3"/>
  <c r="H8" i="3"/>
  <c r="F39" i="4"/>
  <c r="F45" i="3"/>
  <c r="F52" i="3" s="1"/>
  <c r="F28" i="4" s="1"/>
  <c r="G8" i="4"/>
  <c r="F77" i="2"/>
  <c r="E77" i="2"/>
  <c r="N77" i="2"/>
  <c r="M77" i="2"/>
  <c r="P77" i="2"/>
  <c r="M12" i="4"/>
  <c r="P11" i="3"/>
  <c r="M7" i="4"/>
  <c r="M23" i="3"/>
  <c r="H30" i="3"/>
  <c r="H37" i="3" s="1"/>
  <c r="H26" i="4" s="1"/>
  <c r="P26" i="3"/>
  <c r="O11" i="5"/>
  <c r="O14" i="3"/>
  <c r="D21" i="4"/>
  <c r="P21" i="4" s="1"/>
  <c r="P12" i="3"/>
  <c r="F48" i="5"/>
  <c r="H55" i="6" s="1"/>
  <c r="F23" i="3"/>
  <c r="F57" i="3" s="1"/>
  <c r="F7" i="4"/>
  <c r="F8" i="4" s="1"/>
  <c r="F16" i="4" s="1"/>
  <c r="N48" i="5"/>
  <c r="H63" i="6" s="1"/>
  <c r="N23" i="3"/>
  <c r="N57" i="3" s="1"/>
  <c r="E14" i="4"/>
  <c r="E15" i="4" s="1"/>
  <c r="J23" i="3"/>
  <c r="J57" i="3" s="1"/>
  <c r="I37" i="3"/>
  <c r="I26" i="4" s="1"/>
  <c r="D33" i="5"/>
  <c r="P27" i="3"/>
  <c r="L33" i="5"/>
  <c r="G38" i="5"/>
  <c r="G39" i="5" s="1"/>
  <c r="G36" i="3"/>
  <c r="O38" i="5"/>
  <c r="O36" i="3"/>
  <c r="D45" i="3"/>
  <c r="O51" i="3"/>
  <c r="M51" i="3"/>
  <c r="L7" i="4"/>
  <c r="J12" i="4"/>
  <c r="K14" i="4"/>
  <c r="H19" i="4"/>
  <c r="D22" i="4"/>
  <c r="P22" i="4" s="1"/>
  <c r="F24" i="4"/>
  <c r="P24" i="4" s="1"/>
  <c r="P10" i="3"/>
  <c r="D15" i="4"/>
  <c r="P13" i="4"/>
  <c r="G24" i="5"/>
  <c r="L37" i="3"/>
  <c r="L26" i="4" s="1"/>
  <c r="E11" i="5"/>
  <c r="E24" i="5" s="1"/>
  <c r="E14" i="3"/>
  <c r="E39" i="4"/>
  <c r="E45" i="3"/>
  <c r="E52" i="3" s="1"/>
  <c r="E28" i="4" s="1"/>
  <c r="P42" i="3"/>
  <c r="E6" i="4"/>
  <c r="E8" i="4" s="1"/>
  <c r="K17" i="4"/>
  <c r="P17" i="4" s="1"/>
  <c r="P23" i="4"/>
  <c r="P35" i="4"/>
  <c r="P20" i="3"/>
  <c r="N39" i="4"/>
  <c r="N45" i="3"/>
  <c r="N52" i="3" s="1"/>
  <c r="N28" i="4" s="1"/>
  <c r="J24" i="5"/>
  <c r="J14" i="4"/>
  <c r="J15" i="4" s="1"/>
  <c r="I19" i="4"/>
  <c r="I19" i="5"/>
  <c r="P49" i="3"/>
  <c r="O8" i="4"/>
  <c r="P9" i="4"/>
  <c r="P17" i="3"/>
  <c r="E12" i="4"/>
  <c r="P18" i="3"/>
  <c r="D14" i="4"/>
  <c r="K19" i="5"/>
  <c r="K19" i="4"/>
  <c r="Q77" i="2"/>
  <c r="F12" i="4"/>
  <c r="G12" i="4"/>
  <c r="G23" i="3"/>
  <c r="G57" i="3" s="1"/>
  <c r="G7" i="4"/>
  <c r="O23" i="3"/>
  <c r="O57" i="3" s="1"/>
  <c r="E19" i="5"/>
  <c r="K23" i="3"/>
  <c r="K57" i="3" s="1"/>
  <c r="J30" i="3"/>
  <c r="J37" i="3" s="1"/>
  <c r="J26" i="4" s="1"/>
  <c r="H38" i="5"/>
  <c r="H39" i="5" s="1"/>
  <c r="H36" i="3"/>
  <c r="P32" i="3"/>
  <c r="N7" i="4"/>
  <c r="N8" i="4" s="1"/>
  <c r="N16" i="4" s="1"/>
  <c r="L14" i="4"/>
  <c r="L15" i="4" s="1"/>
  <c r="J19" i="4"/>
  <c r="E40" i="4"/>
  <c r="P40" i="4" s="1"/>
  <c r="G49" i="5"/>
  <c r="G46" i="5"/>
  <c r="Q46" i="5"/>
  <c r="P46" i="5"/>
  <c r="H48" i="5"/>
  <c r="H57" i="6" s="1"/>
  <c r="K15" i="4"/>
  <c r="D19" i="4"/>
  <c r="P37" i="4"/>
  <c r="L19" i="4"/>
  <c r="O14" i="4"/>
  <c r="O15" i="4" s="1"/>
  <c r="E19" i="4"/>
  <c r="M19" i="4"/>
  <c r="P38" i="4"/>
  <c r="G45" i="3"/>
  <c r="G52" i="3" s="1"/>
  <c r="G28" i="4" s="1"/>
  <c r="O45" i="3"/>
  <c r="O52" i="3" s="1"/>
  <c r="O28" i="4" s="1"/>
  <c r="H7" i="4"/>
  <c r="H8" i="4" s="1"/>
  <c r="G14" i="4"/>
  <c r="G15" i="4" s="1"/>
  <c r="J48" i="5"/>
  <c r="H59" i="6" s="1"/>
  <c r="N19" i="4"/>
  <c r="D39" i="5"/>
  <c r="P38" i="5"/>
  <c r="P39" i="5" s="1"/>
  <c r="H45" i="3"/>
  <c r="K40" i="4"/>
  <c r="K51" i="3"/>
  <c r="K52" i="3" s="1"/>
  <c r="K28" i="4" s="1"/>
  <c r="P50" i="3"/>
  <c r="H51" i="3"/>
  <c r="J7" i="4"/>
  <c r="J8" i="4" s="1"/>
  <c r="J16" i="4" s="1"/>
  <c r="H14" i="4"/>
  <c r="H15" i="4" s="1"/>
  <c r="G48" i="5"/>
  <c r="H56" i="6" s="1"/>
  <c r="G77" i="2"/>
  <c r="F8" i="3"/>
  <c r="N8" i="3"/>
  <c r="K48" i="5"/>
  <c r="H60" i="6" s="1"/>
  <c r="I24" i="5"/>
  <c r="G19" i="5"/>
  <c r="H23" i="3"/>
  <c r="I33" i="5"/>
  <c r="I45" i="3"/>
  <c r="I51" i="3"/>
  <c r="P51" i="3" s="1"/>
  <c r="K7" i="4"/>
  <c r="K8" i="4" s="1"/>
  <c r="K16" i="4" s="1"/>
  <c r="I14" i="4"/>
  <c r="I15" i="4" s="1"/>
  <c r="I16" i="4" s="1"/>
  <c r="F19" i="4"/>
  <c r="Q40" i="5"/>
  <c r="K47" i="5"/>
  <c r="I46" i="5"/>
  <c r="I49" i="5"/>
  <c r="P44" i="5"/>
  <c r="I47" i="5"/>
  <c r="I48" i="5"/>
  <c r="H58" i="6" s="1"/>
  <c r="P40" i="5"/>
  <c r="O49" i="5"/>
  <c r="Q49" i="5" s="1"/>
  <c r="O48" i="5"/>
  <c r="E48" i="5"/>
  <c r="H54" i="6" s="1"/>
  <c r="M48" i="5"/>
  <c r="H62" i="6" s="1"/>
  <c r="H16" i="4" l="1"/>
  <c r="I30" i="5"/>
  <c r="I20" i="4"/>
  <c r="I25" i="4" s="1"/>
  <c r="I27" i="4" s="1"/>
  <c r="N30" i="5"/>
  <c r="N20" i="4"/>
  <c r="N25" i="4" s="1"/>
  <c r="N27" i="4" s="1"/>
  <c r="N30" i="4" s="1"/>
  <c r="F30" i="5"/>
  <c r="F20" i="4"/>
  <c r="F25" i="4" s="1"/>
  <c r="F27" i="4" s="1"/>
  <c r="F30" i="4" s="1"/>
  <c r="E16" i="4"/>
  <c r="I29" i="5"/>
  <c r="I26" i="5"/>
  <c r="G56" i="3"/>
  <c r="G58" i="3" s="1"/>
  <c r="G24" i="3"/>
  <c r="P30" i="3"/>
  <c r="K30" i="5"/>
  <c r="K20" i="4"/>
  <c r="K25" i="4" s="1"/>
  <c r="K27" i="4" s="1"/>
  <c r="K30" i="4" s="1"/>
  <c r="J30" i="5"/>
  <c r="J20" i="4"/>
  <c r="J25" i="4" s="1"/>
  <c r="J27" i="4" s="1"/>
  <c r="J30" i="4" s="1"/>
  <c r="O56" i="3"/>
  <c r="O58" i="3" s="1"/>
  <c r="O24" i="3"/>
  <c r="P36" i="3"/>
  <c r="M8" i="4"/>
  <c r="M16" i="4" s="1"/>
  <c r="P23" i="3"/>
  <c r="D57" i="3"/>
  <c r="P57" i="3" s="1"/>
  <c r="J50" i="5"/>
  <c r="K59" i="6" s="1"/>
  <c r="G59" i="6"/>
  <c r="K24" i="3"/>
  <c r="F26" i="5"/>
  <c r="F29" i="5"/>
  <c r="Q38" i="5"/>
  <c r="O39" i="5"/>
  <c r="Q39" i="5" s="1"/>
  <c r="Q48" i="5"/>
  <c r="H64" i="6"/>
  <c r="L7" i="6" s="1"/>
  <c r="P7" i="4"/>
  <c r="H26" i="5"/>
  <c r="H29" i="5"/>
  <c r="P37" i="3"/>
  <c r="D26" i="4"/>
  <c r="P26" i="4" s="1"/>
  <c r="I52" i="3"/>
  <c r="I28" i="4" s="1"/>
  <c r="D12" i="4"/>
  <c r="I24" i="3"/>
  <c r="C64" i="6"/>
  <c r="Q11" i="5"/>
  <c r="O47" i="5"/>
  <c r="H11" i="5"/>
  <c r="H14" i="3"/>
  <c r="K58" i="3"/>
  <c r="I56" i="3"/>
  <c r="I58" i="3" s="1"/>
  <c r="E26" i="5"/>
  <c r="E29" i="5"/>
  <c r="G16" i="4"/>
  <c r="P19" i="4"/>
  <c r="P15" i="4"/>
  <c r="J29" i="5"/>
  <c r="J26" i="5"/>
  <c r="M26" i="5"/>
  <c r="M29" i="5"/>
  <c r="C56" i="6"/>
  <c r="L56" i="6" s="1"/>
  <c r="G47" i="5"/>
  <c r="C54" i="6"/>
  <c r="L54" i="6" s="1"/>
  <c r="E12" i="5"/>
  <c r="E47" i="5"/>
  <c r="E49" i="5"/>
  <c r="D52" i="3"/>
  <c r="P45" i="3"/>
  <c r="C30" i="1"/>
  <c r="L11" i="5"/>
  <c r="L14" i="3"/>
  <c r="J24" i="3"/>
  <c r="P39" i="4"/>
  <c r="P6" i="4"/>
  <c r="M14" i="3"/>
  <c r="M11" i="5"/>
  <c r="G60" i="6"/>
  <c r="K50" i="5"/>
  <c r="K60" i="6" s="1"/>
  <c r="N14" i="3"/>
  <c r="N11" i="5"/>
  <c r="O12" i="5" s="1"/>
  <c r="O16" i="4"/>
  <c r="H57" i="3"/>
  <c r="F11" i="5"/>
  <c r="G12" i="5" s="1"/>
  <c r="F14" i="3"/>
  <c r="O24" i="5"/>
  <c r="Q24" i="5" s="1"/>
  <c r="P14" i="4"/>
  <c r="P19" i="5"/>
  <c r="E56" i="3"/>
  <c r="E58" i="3" s="1"/>
  <c r="E24" i="3"/>
  <c r="P33" i="5"/>
  <c r="O19" i="5"/>
  <c r="Q19" i="5" s="1"/>
  <c r="G58" i="6"/>
  <c r="I50" i="5"/>
  <c r="K58" i="6" s="1"/>
  <c r="H52" i="3"/>
  <c r="H28" i="4" s="1"/>
  <c r="G26" i="5"/>
  <c r="G29" i="5"/>
  <c r="M57" i="3"/>
  <c r="L8" i="4"/>
  <c r="L16" i="4" s="1"/>
  <c r="J56" i="3"/>
  <c r="J58" i="3" s="1"/>
  <c r="D11" i="5"/>
  <c r="D14" i="3"/>
  <c r="P8" i="3"/>
  <c r="P11" i="5" s="1"/>
  <c r="P24" i="5" s="1"/>
  <c r="D8" i="4"/>
  <c r="Q12" i="5" l="1"/>
  <c r="F32" i="4"/>
  <c r="F41" i="4" s="1"/>
  <c r="F20" i="5" s="1"/>
  <c r="P14" i="3"/>
  <c r="D56" i="3"/>
  <c r="D24" i="3"/>
  <c r="L47" i="5"/>
  <c r="C61" i="6"/>
  <c r="L61" i="6" s="1"/>
  <c r="L12" i="5"/>
  <c r="L49" i="5"/>
  <c r="L19" i="5"/>
  <c r="L24" i="5"/>
  <c r="H49" i="5"/>
  <c r="C57" i="6"/>
  <c r="L57" i="6" s="1"/>
  <c r="H47" i="5"/>
  <c r="H12" i="5"/>
  <c r="I12" i="5"/>
  <c r="H24" i="5"/>
  <c r="H19" i="5"/>
  <c r="E60" i="6"/>
  <c r="K31" i="5"/>
  <c r="K32" i="5"/>
  <c r="F31" i="5"/>
  <c r="E55" i="6"/>
  <c r="F32" i="5"/>
  <c r="D47" i="5"/>
  <c r="C53" i="6"/>
  <c r="L53" i="6" s="1"/>
  <c r="D49" i="5"/>
  <c r="D24" i="5"/>
  <c r="D19" i="5"/>
  <c r="M20" i="4"/>
  <c r="M25" i="4" s="1"/>
  <c r="M27" i="4" s="1"/>
  <c r="M30" i="4" s="1"/>
  <c r="M30" i="5"/>
  <c r="N32" i="4"/>
  <c r="N41" i="4" s="1"/>
  <c r="N20" i="5" s="1"/>
  <c r="F56" i="3"/>
  <c r="F58" i="3" s="1"/>
  <c r="F24" i="3"/>
  <c r="C62" i="6"/>
  <c r="L62" i="6" s="1"/>
  <c r="M12" i="5"/>
  <c r="M49" i="5"/>
  <c r="M47" i="5"/>
  <c r="M19" i="5"/>
  <c r="M24" i="5"/>
  <c r="G50" i="5"/>
  <c r="K56" i="6" s="1"/>
  <c r="G56" i="6"/>
  <c r="G30" i="5"/>
  <c r="G20" i="4"/>
  <c r="G25" i="4" s="1"/>
  <c r="G27" i="4" s="1"/>
  <c r="G30" i="4" s="1"/>
  <c r="Q47" i="5"/>
  <c r="G64" i="6"/>
  <c r="G7" i="6" s="1"/>
  <c r="O50" i="5"/>
  <c r="G13" i="5"/>
  <c r="G38" i="3"/>
  <c r="G53" i="3" s="1"/>
  <c r="G55" i="3" s="1"/>
  <c r="N31" i="5"/>
  <c r="E63" i="6"/>
  <c r="N32" i="5"/>
  <c r="O13" i="5"/>
  <c r="O38" i="3"/>
  <c r="O53" i="3" s="1"/>
  <c r="O55" i="3" s="1"/>
  <c r="I30" i="4"/>
  <c r="J13" i="5"/>
  <c r="J38" i="3"/>
  <c r="J53" i="3" s="1"/>
  <c r="J55" i="3" s="1"/>
  <c r="N47" i="5"/>
  <c r="N12" i="5"/>
  <c r="N49" i="5"/>
  <c r="C63" i="6"/>
  <c r="L63" i="6" s="1"/>
  <c r="N24" i="5"/>
  <c r="N19" i="5"/>
  <c r="D29" i="5"/>
  <c r="P29" i="5" s="1"/>
  <c r="P12" i="4"/>
  <c r="D26" i="5"/>
  <c r="P26" i="5" s="1"/>
  <c r="E59" i="6"/>
  <c r="J31" i="5"/>
  <c r="J32" i="5"/>
  <c r="E30" i="5"/>
  <c r="E20" i="4"/>
  <c r="E25" i="4" s="1"/>
  <c r="E27" i="4" s="1"/>
  <c r="E30" i="4" s="1"/>
  <c r="P47" i="5"/>
  <c r="P49" i="5"/>
  <c r="N56" i="3"/>
  <c r="N58" i="3" s="1"/>
  <c r="N24" i="3"/>
  <c r="L56" i="3"/>
  <c r="L58" i="3" s="1"/>
  <c r="L24" i="3"/>
  <c r="H24" i="3"/>
  <c r="H56" i="3"/>
  <c r="H58" i="3" s="1"/>
  <c r="K32" i="4"/>
  <c r="K41" i="4" s="1"/>
  <c r="K20" i="5" s="1"/>
  <c r="L30" i="5"/>
  <c r="L20" i="4"/>
  <c r="L25" i="4" s="1"/>
  <c r="L27" i="4" s="1"/>
  <c r="L30" i="4" s="1"/>
  <c r="F47" i="5"/>
  <c r="F49" i="5"/>
  <c r="C55" i="6"/>
  <c r="L55" i="6" s="1"/>
  <c r="F12" i="5"/>
  <c r="F19" i="5"/>
  <c r="F24" i="5"/>
  <c r="M56" i="3"/>
  <c r="M58" i="3" s="1"/>
  <c r="M24" i="3"/>
  <c r="D28" i="4"/>
  <c r="P28" i="4" s="1"/>
  <c r="P52" i="3"/>
  <c r="E13" i="5"/>
  <c r="E38" i="3"/>
  <c r="E53" i="3" s="1"/>
  <c r="E55" i="3" s="1"/>
  <c r="M64" i="6"/>
  <c r="B7" i="6"/>
  <c r="K13" i="5"/>
  <c r="K38" i="3"/>
  <c r="K53" i="3" s="1"/>
  <c r="K55" i="3" s="1"/>
  <c r="E58" i="6"/>
  <c r="I31" i="5"/>
  <c r="I32" i="5"/>
  <c r="D16" i="4"/>
  <c r="P8" i="4"/>
  <c r="O30" i="5"/>
  <c r="O20" i="4"/>
  <c r="O25" i="4" s="1"/>
  <c r="O27" i="4" s="1"/>
  <c r="O30" i="4" s="1"/>
  <c r="E50" i="5"/>
  <c r="K54" i="6" s="1"/>
  <c r="G54" i="6"/>
  <c r="I13" i="5"/>
  <c r="I38" i="3"/>
  <c r="I53" i="3" s="1"/>
  <c r="I55" i="3" s="1"/>
  <c r="J32" i="4"/>
  <c r="J41" i="4" s="1"/>
  <c r="J20" i="5" s="1"/>
  <c r="H30" i="5"/>
  <c r="H20" i="4"/>
  <c r="H25" i="4" s="1"/>
  <c r="H27" i="4" s="1"/>
  <c r="H30" i="4" s="1"/>
  <c r="L38" i="3" l="1"/>
  <c r="L53" i="3" s="1"/>
  <c r="L55" i="3" s="1"/>
  <c r="L13" i="5"/>
  <c r="O21" i="5"/>
  <c r="O60" i="3"/>
  <c r="L43" i="4"/>
  <c r="L32" i="4"/>
  <c r="L41" i="4" s="1"/>
  <c r="L20" i="5" s="1"/>
  <c r="D13" i="5"/>
  <c r="D38" i="3"/>
  <c r="P24" i="3"/>
  <c r="P13" i="5" s="1"/>
  <c r="K21" i="5"/>
  <c r="K60" i="3"/>
  <c r="M38" i="3"/>
  <c r="M53" i="3" s="1"/>
  <c r="M55" i="3" s="1"/>
  <c r="M13" i="5"/>
  <c r="N38" i="3"/>
  <c r="N53" i="3" s="1"/>
  <c r="N55" i="3" s="1"/>
  <c r="N13" i="5"/>
  <c r="G43" i="4"/>
  <c r="G32" i="4"/>
  <c r="G41" i="4" s="1"/>
  <c r="G20" i="5" s="1"/>
  <c r="H32" i="4"/>
  <c r="H41" i="4" s="1"/>
  <c r="H20" i="5" s="1"/>
  <c r="O43" i="4"/>
  <c r="O32" i="4"/>
  <c r="O41" i="4" s="1"/>
  <c r="O20" i="5" s="1"/>
  <c r="Q20" i="5" s="1"/>
  <c r="K14" i="5"/>
  <c r="K16" i="5" s="1"/>
  <c r="K17" i="5" s="1"/>
  <c r="F60" i="6"/>
  <c r="K34" i="5"/>
  <c r="K27" i="5"/>
  <c r="K35" i="5"/>
  <c r="K15" i="5"/>
  <c r="J60" i="6" s="1"/>
  <c r="E61" i="6"/>
  <c r="L31" i="5"/>
  <c r="L32" i="5"/>
  <c r="E56" i="6"/>
  <c r="G31" i="5"/>
  <c r="G32" i="5"/>
  <c r="D58" i="3"/>
  <c r="P58" i="3" s="1"/>
  <c r="P56" i="3"/>
  <c r="H31" i="5"/>
  <c r="E57" i="6"/>
  <c r="H32" i="5"/>
  <c r="E64" i="6"/>
  <c r="O31" i="5"/>
  <c r="Q31" i="5" s="1"/>
  <c r="Q30" i="5"/>
  <c r="O32" i="5"/>
  <c r="Q32" i="5" s="1"/>
  <c r="N50" i="5"/>
  <c r="K63" i="6" s="1"/>
  <c r="G63" i="6"/>
  <c r="F13" i="5"/>
  <c r="G14" i="5" s="1"/>
  <c r="G16" i="5" s="1"/>
  <c r="G17" i="5" s="1"/>
  <c r="F38" i="3"/>
  <c r="F53" i="3" s="1"/>
  <c r="F55" i="3" s="1"/>
  <c r="K43" i="4"/>
  <c r="P50" i="5"/>
  <c r="J21" i="5"/>
  <c r="J60" i="3"/>
  <c r="G60" i="3"/>
  <c r="G21" i="5"/>
  <c r="J43" i="4"/>
  <c r="D30" i="5"/>
  <c r="P16" i="4"/>
  <c r="D20" i="4"/>
  <c r="E21" i="5"/>
  <c r="E60" i="3"/>
  <c r="E43" i="4"/>
  <c r="E32" i="4"/>
  <c r="E41" i="4" s="1"/>
  <c r="E20" i="5" s="1"/>
  <c r="J27" i="5"/>
  <c r="J14" i="5"/>
  <c r="J16" i="5" s="1"/>
  <c r="J17" i="5" s="1"/>
  <c r="F59" i="6"/>
  <c r="J34" i="5"/>
  <c r="J15" i="5"/>
  <c r="J59" i="6" s="1"/>
  <c r="J35" i="5"/>
  <c r="G27" i="5"/>
  <c r="G15" i="5"/>
  <c r="J56" i="6" s="1"/>
  <c r="F56" i="6"/>
  <c r="G34" i="5"/>
  <c r="G35" i="5"/>
  <c r="D50" i="5"/>
  <c r="K53" i="6" s="1"/>
  <c r="G53" i="6"/>
  <c r="I21" i="5"/>
  <c r="I60" i="3"/>
  <c r="E35" i="5"/>
  <c r="E15" i="5"/>
  <c r="J54" i="6" s="1"/>
  <c r="E34" i="5"/>
  <c r="F54" i="6"/>
  <c r="E14" i="5"/>
  <c r="E16" i="5" s="1"/>
  <c r="E17" i="5" s="1"/>
  <c r="E27" i="5"/>
  <c r="H13" i="5"/>
  <c r="H38" i="3"/>
  <c r="H53" i="3" s="1"/>
  <c r="H55" i="3" s="1"/>
  <c r="H43" i="4" s="1"/>
  <c r="E31" i="5"/>
  <c r="E54" i="6"/>
  <c r="E32" i="5"/>
  <c r="I32" i="4"/>
  <c r="I41" i="4" s="1"/>
  <c r="I20" i="5" s="1"/>
  <c r="I43" i="4"/>
  <c r="K64" i="6"/>
  <c r="N9" i="6" s="1"/>
  <c r="Q50" i="5"/>
  <c r="I35" i="5"/>
  <c r="F58" i="6"/>
  <c r="I34" i="5"/>
  <c r="I15" i="5"/>
  <c r="J58" i="6" s="1"/>
  <c r="I27" i="5"/>
  <c r="G62" i="6"/>
  <c r="M50" i="5"/>
  <c r="K62" i="6" s="1"/>
  <c r="M31" i="5"/>
  <c r="E62" i="6"/>
  <c r="M32" i="5"/>
  <c r="F50" i="5"/>
  <c r="K55" i="6" s="1"/>
  <c r="G55" i="6"/>
  <c r="O27" i="5"/>
  <c r="Q27" i="5" s="1"/>
  <c r="O35" i="5"/>
  <c r="Q35" i="5" s="1"/>
  <c r="F64" i="6"/>
  <c r="O15" i="5"/>
  <c r="O14" i="5"/>
  <c r="Q13" i="5"/>
  <c r="O34" i="5"/>
  <c r="Q34" i="5" s="1"/>
  <c r="M43" i="4"/>
  <c r="M32" i="4"/>
  <c r="M41" i="4" s="1"/>
  <c r="M20" i="5" s="1"/>
  <c r="G57" i="6"/>
  <c r="H50" i="5"/>
  <c r="K57" i="6" s="1"/>
  <c r="L50" i="5"/>
  <c r="K61" i="6" s="1"/>
  <c r="G61" i="6"/>
  <c r="H35" i="5" l="1"/>
  <c r="H27" i="5"/>
  <c r="H14" i="5"/>
  <c r="H16" i="5" s="1"/>
  <c r="H17" i="5" s="1"/>
  <c r="F57" i="6"/>
  <c r="H34" i="5"/>
  <c r="H15" i="5"/>
  <c r="J57" i="6" s="1"/>
  <c r="D58" i="6"/>
  <c r="I23" i="5"/>
  <c r="I58" i="6" s="1"/>
  <c r="G23" i="5"/>
  <c r="I56" i="6" s="1"/>
  <c r="D56" i="6"/>
  <c r="M35" i="5"/>
  <c r="M15" i="5"/>
  <c r="J62" i="6" s="1"/>
  <c r="F62" i="6"/>
  <c r="M34" i="5"/>
  <c r="M14" i="5"/>
  <c r="M16" i="5" s="1"/>
  <c r="M17" i="5" s="1"/>
  <c r="M27" i="5"/>
  <c r="E23" i="5"/>
  <c r="I54" i="6" s="1"/>
  <c r="D54" i="6"/>
  <c r="D59" i="6"/>
  <c r="J23" i="5"/>
  <c r="I59" i="6" s="1"/>
  <c r="D60" i="6"/>
  <c r="K23" i="5"/>
  <c r="I60" i="6" s="1"/>
  <c r="H21" i="5"/>
  <c r="H60" i="3"/>
  <c r="N60" i="3"/>
  <c r="N21" i="5"/>
  <c r="N43" i="4"/>
  <c r="I14" i="5"/>
  <c r="I16" i="5" s="1"/>
  <c r="I17" i="5" s="1"/>
  <c r="Q14" i="5"/>
  <c r="O16" i="5"/>
  <c r="P20" i="4"/>
  <c r="D25" i="4"/>
  <c r="P35" i="5"/>
  <c r="P27" i="5"/>
  <c r="P15" i="5"/>
  <c r="O23" i="5"/>
  <c r="D64" i="6"/>
  <c r="S9" i="6" s="1"/>
  <c r="Q21" i="5"/>
  <c r="F34" i="5"/>
  <c r="F55" i="6"/>
  <c r="F35" i="5"/>
  <c r="F15" i="5"/>
  <c r="J55" i="6" s="1"/>
  <c r="F14" i="5"/>
  <c r="F16" i="5" s="1"/>
  <c r="F17" i="5" s="1"/>
  <c r="F27" i="5"/>
  <c r="J64" i="6"/>
  <c r="D9" i="6" s="1"/>
  <c r="Q15" i="5"/>
  <c r="P38" i="3"/>
  <c r="D53" i="3"/>
  <c r="F61" i="6"/>
  <c r="L34" i="5"/>
  <c r="L27" i="5"/>
  <c r="L14" i="5"/>
  <c r="L16" i="5" s="1"/>
  <c r="L17" i="5" s="1"/>
  <c r="L15" i="5"/>
  <c r="J61" i="6" s="1"/>
  <c r="L35" i="5"/>
  <c r="M21" i="5"/>
  <c r="M60" i="3"/>
  <c r="E53" i="6"/>
  <c r="D31" i="5"/>
  <c r="P30" i="5"/>
  <c r="D32" i="5"/>
  <c r="F21" i="5"/>
  <c r="F60" i="3"/>
  <c r="F43" i="4"/>
  <c r="N34" i="5"/>
  <c r="F63" i="6"/>
  <c r="N35" i="5"/>
  <c r="N15" i="5"/>
  <c r="J63" i="6" s="1"/>
  <c r="N14" i="5"/>
  <c r="N16" i="5" s="1"/>
  <c r="N17" i="5" s="1"/>
  <c r="N27" i="5"/>
  <c r="F53" i="6"/>
  <c r="D34" i="5"/>
  <c r="D27" i="5"/>
  <c r="D15" i="5"/>
  <c r="J53" i="6" s="1"/>
  <c r="D35" i="5"/>
  <c r="L21" i="5"/>
  <c r="L60" i="3"/>
  <c r="P53" i="3" l="1"/>
  <c r="D55" i="3"/>
  <c r="Q16" i="5"/>
  <c r="O17" i="5"/>
  <c r="Q17" i="5" s="1"/>
  <c r="D55" i="6"/>
  <c r="F23" i="5"/>
  <c r="I55" i="6" s="1"/>
  <c r="I64" i="6"/>
  <c r="Q7" i="6" s="1"/>
  <c r="Q23" i="5"/>
  <c r="P34" i="5"/>
  <c r="M23" i="5"/>
  <c r="I62" i="6" s="1"/>
  <c r="D62" i="6"/>
  <c r="D27" i="4"/>
  <c r="P25" i="4"/>
  <c r="H23" i="5"/>
  <c r="I57" i="6" s="1"/>
  <c r="D57" i="6"/>
  <c r="D61" i="6"/>
  <c r="L23" i="5"/>
  <c r="I61" i="6" s="1"/>
  <c r="P31" i="5"/>
  <c r="P32" i="5"/>
  <c r="D63" i="6"/>
  <c r="N23" i="5"/>
  <c r="I63" i="6" s="1"/>
  <c r="D30" i="4" l="1"/>
  <c r="P27" i="4"/>
  <c r="D21" i="5"/>
  <c r="D60" i="3"/>
  <c r="P55" i="3"/>
  <c r="P21" i="5" l="1"/>
  <c r="P23" i="5" s="1"/>
  <c r="P60" i="3"/>
  <c r="C31" i="1"/>
  <c r="D53" i="6"/>
  <c r="D23" i="5"/>
  <c r="I53" i="6" s="1"/>
  <c r="P30" i="4"/>
  <c r="P43" i="4" s="1"/>
  <c r="D43" i="4"/>
  <c r="C32" i="1" s="1"/>
  <c r="D32" i="4"/>
  <c r="D41" i="4" l="1"/>
  <c r="P32" i="4"/>
  <c r="P41" i="4" l="1"/>
  <c r="P20" i="5" s="1"/>
  <c r="D2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77" authorId="0" shapeId="0" xr:uid="{00000000-0006-0000-0100-000001000000}">
      <text>
        <r>
          <rPr>
            <sz val="10"/>
            <rFont val="Arial"/>
            <family val="2"/>
          </rPr>
          <t>Pour chaque mois : soldes des classes 1 à 5 + cumul depuis janvier des classes 6 et 7. Un résultat de 0 confirme que la balance est équilibrée.</t>
        </r>
      </text>
    </comment>
    <comment ref="B81" authorId="0" shapeId="0" xr:uid="{00000000-0006-0000-0100-000002000000}">
      <text>
        <r>
          <rPr>
            <sz val="10"/>
            <rFont val="Arial"/>
            <family val="2"/>
          </rPr>
          <t>Donnée fictive saisie, utilisée pour le taux de croissance du résultat net.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5" authorId="0" shapeId="0" xr:uid="{00000000-0006-0000-0400-000005000000}">
      <text>
        <r>
          <rPr>
            <sz val="10"/>
            <rFont val="Arial"/>
            <family val="2"/>
          </rPr>
          <t>Paramètre modifiable (hypothèse de lecture).</t>
        </r>
      </text>
    </comment>
    <comment ref="C6" authorId="0" shapeId="0" xr:uid="{00000000-0006-0000-0400-000006000000}">
      <text>
        <r>
          <rPr>
            <sz val="10"/>
            <rFont val="Arial"/>
            <family val="2"/>
          </rPr>
          <t>Paramètre modifiable (hypothèse de lecture).</t>
        </r>
      </text>
    </comment>
    <comment ref="C7" authorId="0" shapeId="0" xr:uid="{00000000-0006-0000-0400-000007000000}">
      <text>
        <r>
          <rPr>
            <sz val="10"/>
            <rFont val="Arial"/>
            <family val="2"/>
          </rPr>
          <t>Paramètre modifiable (hypothèse de lecture).</t>
        </r>
      </text>
    </comment>
    <comment ref="A25" authorId="0" shapeId="0" xr:uid="{00000000-0006-0000-0400-000001000000}">
      <text>
        <r>
          <rPr>
            <sz val="10"/>
            <rFont val="Arial"/>
            <family val="2"/>
          </rPr>
          <t>Hypothèse : charges variables = comptes 6121, 6122, 6124, 6125, 6126 et 6142 (matières, consommables, variation de stocks matières, énergie, sous-traitance, transports).</t>
        </r>
      </text>
    </comment>
    <comment ref="A39" authorId="0" shapeId="0" xr:uid="{00000000-0006-0000-0400-000002000000}">
      <text>
        <r>
          <rPr>
            <sz val="10"/>
            <rFont val="Arial"/>
            <family val="2"/>
          </rPr>
          <t>Intérêts du mois × 12 / encours de fin de mois. Année : intérêts / encours moyen.</t>
        </r>
      </text>
    </comment>
    <comment ref="A47" authorId="0" shapeId="0" xr:uid="{00000000-0006-0000-0400-000003000000}">
      <text>
        <r>
          <rPr>
            <sz val="10"/>
            <rFont val="Arial"/>
            <family val="2"/>
          </rPr>
          <t>Ventes export exonérées de TVA : DSO calculé sur le CA HT (mois ×30, année ×360).</t>
        </r>
      </text>
    </comment>
    <comment ref="A49" authorId="0" shapeId="0" xr:uid="{00000000-0006-0000-0400-000004000000}">
      <text>
        <r>
          <rPr>
            <sz val="10"/>
            <rFont val="Arial"/>
            <family val="2"/>
          </rPr>
          <t>Stocks exprimés en jours de chiffre d'affaires (mois : ×30, année : ×360).</t>
        </r>
      </text>
    </comment>
  </commentList>
</comments>
</file>

<file path=xl/sharedStrings.xml><?xml version="1.0" encoding="utf-8"?>
<sst xmlns="http://schemas.openxmlformats.org/spreadsheetml/2006/main" count="730" uniqueCount="525">
  <si>
    <t>Plan Financier et Stratégique d'AéroTech Maroc</t>
  </si>
  <si>
    <t>Analyse financière CGNC · Reporting · Tableau de bord — Exercice 2023</t>
  </si>
  <si>
    <t>IDENTIFICATION</t>
  </si>
  <si>
    <t>Nom de l'entreprise</t>
  </si>
  <si>
    <t>AéroTech Maroc</t>
  </si>
  <si>
    <t>Secteur</t>
  </si>
  <si>
    <t>Aéronautique</t>
  </si>
  <si>
    <t>Date</t>
  </si>
  <si>
    <t>31 décembre 2023</t>
  </si>
  <si>
    <t>Département</t>
  </si>
  <si>
    <t>Finance</t>
  </si>
  <si>
    <t>Responsable</t>
  </si>
  <si>
    <t>Mme Amal Bennani</t>
  </si>
  <si>
    <t>SOMMAIRE</t>
  </si>
  <si>
    <t>→ Balance</t>
  </si>
  <si>
    <t>Balance comptable CGNC (classes 1 à 7) sur 12 mois — seul onglet de saisie</t>
  </si>
  <si>
    <t>→ CPC</t>
  </si>
  <si>
    <t>Compte de produits et charges, modèle normal CGNC, calculé automatiquement</t>
  </si>
  <si>
    <t>→ ESG</t>
  </si>
  <si>
    <t>État des soldes de gestion : TFR (marge, VA, EBE…) et CAF</t>
  </si>
  <si>
    <t>→ Reporting</t>
  </si>
  <si>
    <t>Élasticité CA/REX codée par couleur et KPI clés, avec sélecteur de mois</t>
  </si>
  <si>
    <t>→ DASHBOARD</t>
  </si>
  <si>
    <t>Cartes et graphiques de tendance interactifs (grenat et doré)</t>
  </si>
  <si>
    <t>→ Lecture</t>
  </si>
  <si>
    <t>Explications vulgarisées de chaque indicateur</t>
  </si>
  <si>
    <t>MODE D'EMPLOI</t>
  </si>
  <si>
    <t>1. Saisissez ou collez vos montants uniquement dans l'onglet « Balance » (chiffres en bleu).</t>
  </si>
  <si>
    <t>2. Classes 1 à 5 : solde de fin de mois. Classes 6 et 7 : mouvement du mois (pas le cumul).</t>
  </si>
  <si>
    <t>3. Vérifiez que la ligne « Contrôle d'équilibre » de la Balance affiche 0 pour chaque mois.</t>
  </si>
  <si>
    <t>4. Le CPC, l'ESG, le Reporting et le Dashboard se recalculent seuls : aucune formule à toucher.</t>
  </si>
  <si>
    <t>5. Dans le Reporting (C4) et le Dashboard (D4), choisissez un mois dans la liste pour l'analyser.</t>
  </si>
  <si>
    <t>6. Pour comprendre un indicateur ou une couleur, consultez l'onglet « Lecture ».</t>
  </si>
  <si>
    <t>7. Pour ajouter un compte : insérez une ligne à l'intérieur du bloc de la Balance (avant la dernière ligne de compte).</t>
  </si>
  <si>
    <t>CONTRÔLES DE COHÉRENCE (automatiques)</t>
  </si>
  <si>
    <t>Balance équilibrée (12 mois)</t>
  </si>
  <si>
    <t>CPC : résultat net (2 méthodes)</t>
  </si>
  <si>
    <t>ESG = CPC (résultat net)</t>
  </si>
  <si>
    <t>LÉGENDE</t>
  </si>
  <si>
    <t>1 234 567</t>
  </si>
  <si>
    <t>Chiffre en bleu : donnée saisie (modifiable)</t>
  </si>
  <si>
    <t>Chiffre en noir : formule (ne pas modifier)</t>
  </si>
  <si>
    <t>Décembre</t>
  </si>
  <si>
    <t>Case dorée : sélecteur de mois (liste déroulante)</t>
  </si>
  <si>
    <t>Note : Toutes les données chiffrées générées dans ce fichier sont fictives.</t>
  </si>
  <si>
    <t>BALANCE COMPTABLE CGNC — AéroTech Maroc — Exercice 2023</t>
  </si>
  <si>
    <t>⌂ Accueil</t>
  </si>
  <si>
    <t>Montants en MAD · Classes 1 à 5 : soldes de fin de mois · Classes 6 et 7 : mouvements du mois · Données fictives</t>
  </si>
  <si>
    <t>Légende :</t>
  </si>
  <si>
    <t>Chiffres en bleu = données saisies (modifiables). Tous les autres onglets se recalculent automatiquement.</t>
  </si>
  <si>
    <t>Compte</t>
  </si>
  <si>
    <t>Intitulé</t>
  </si>
  <si>
    <t>Classe</t>
  </si>
  <si>
    <t>Sens</t>
  </si>
  <si>
    <t>Ouverture 01/01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</si>
  <si>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</si>
  <si>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</si>
  <si>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</si>
  <si>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</si>
  <si>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</si>
  <si>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</si>
  <si>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</si>
  <si>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</si>
  <si>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</si>
  <si>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</si>
  <si>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</si>
  <si>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Total / Clôture</t>
  </si>
  <si>
    <t>CLASSE 1 — COMPTES DE FINANCEMENT PERMANENT</t>
  </si>
  <si>
    <t>1111</t>
  </si>
  <si>
    <t>Capital social</t>
  </si>
  <si>
    <t>C</t>
  </si>
  <si>
    <t>1140</t>
  </si>
  <si>
    <t>Réserve légale</t>
  </si>
  <si>
    <t>1161</t>
  </si>
  <si>
    <t>Report à nouveau (solde créditeur)</t>
  </si>
  <si>
    <t>1481</t>
  </si>
  <si>
    <t>Emprunts auprès des établissements de crédit</t>
  </si>
  <si>
    <t>CLASSE 2 — COMPTES D'ACTIF IMMOBILISÉ</t>
  </si>
  <si>
    <t>2321</t>
  </si>
  <si>
    <t>Bâtiments</t>
  </si>
  <si>
    <t>D</t>
  </si>
  <si>
    <t>2332</t>
  </si>
  <si>
    <t>Matériel et outillage</t>
  </si>
  <si>
    <t>2340</t>
  </si>
  <si>
    <t>Matériel de transport</t>
  </si>
  <si>
    <t>2355</t>
  </si>
  <si>
    <t>Matériel informatique</t>
  </si>
  <si>
    <t>2832</t>
  </si>
  <si>
    <t>Amortissements des constructions</t>
  </si>
  <si>
    <t>2833</t>
  </si>
  <si>
    <t>Amortissements des installations techniques, matériel et outillage</t>
  </si>
  <si>
    <t>2834</t>
  </si>
  <si>
    <t>Amortissements du matériel de transport</t>
  </si>
  <si>
    <t>2835</t>
  </si>
  <si>
    <t>Amortissements du mobilier, matériel de bureau et aménagements divers</t>
  </si>
  <si>
    <t>CLASSE 3 — COMPTES D'ACTIF CIRCULANT</t>
  </si>
  <si>
    <t>3121</t>
  </si>
  <si>
    <t>Matières premières (titane, aluminium, composites)</t>
  </si>
  <si>
    <t>3131</t>
  </si>
  <si>
    <t>Biens en cours</t>
  </si>
  <si>
    <t>3151</t>
  </si>
  <si>
    <t>Produits finis</t>
  </si>
  <si>
    <t>3421</t>
  </si>
  <si>
    <t>Clients</t>
  </si>
  <si>
    <t>3455</t>
  </si>
  <si>
    <t>État — TVA récupérable</t>
  </si>
  <si>
    <t>3942</t>
  </si>
  <si>
    <t>Provisions pour dépréciation des clients et comptes rattachés</t>
  </si>
  <si>
    <t>CLASSE 4 — COMPTES DE PASSIF CIRCULANT</t>
  </si>
  <si>
    <t>4411</t>
  </si>
  <si>
    <t>Fournisseurs</t>
  </si>
  <si>
    <t>4432</t>
  </si>
  <si>
    <t>Rémunérations dues au personnel</t>
  </si>
  <si>
    <t>4441</t>
  </si>
  <si>
    <t>Caisse nationale de sécurité sociale</t>
  </si>
  <si>
    <t>4453</t>
  </si>
  <si>
    <t>État — impôts sur les résultats</t>
  </si>
  <si>
    <t>4455</t>
  </si>
  <si>
    <t>État — TVA facturée</t>
  </si>
  <si>
    <t>CLASSE 5 — COMPTES DE TRÉSORERIE</t>
  </si>
  <si>
    <t>5141</t>
  </si>
  <si>
    <t>Banques (soldes débiteurs)</t>
  </si>
  <si>
    <t>5161</t>
  </si>
  <si>
    <t>Caisse</t>
  </si>
  <si>
    <t>CLASSE 6 — COMPTES DE CHARGES (mouvements du mois)</t>
  </si>
  <si>
    <t>6111</t>
  </si>
  <si>
    <t>Achats de marchandises</t>
  </si>
  <si>
    <t>6121</t>
  </si>
  <si>
    <t>Achats de matières premières</t>
  </si>
  <si>
    <t>6122</t>
  </si>
  <si>
    <t>Achats de matières et fournitures consommables</t>
  </si>
  <si>
    <t>6124</t>
  </si>
  <si>
    <t>Variation des stocks de matières et fournitures (±)</t>
  </si>
  <si>
    <t>6125</t>
  </si>
  <si>
    <t>Achats non stockés de matières et fournitures (énergie, eau)</t>
  </si>
  <si>
    <t>6126</t>
  </si>
  <si>
    <t>Achats de travaux, études et prestations de services (sous-traitance)</t>
  </si>
  <si>
    <t>6131</t>
  </si>
  <si>
    <t>Locations et charges locatives</t>
  </si>
  <si>
    <t>6133</t>
  </si>
  <si>
    <t>Entretien et réparations</t>
  </si>
  <si>
    <t>6134</t>
  </si>
  <si>
    <t>Primes d'assurances</t>
  </si>
  <si>
    <t>6136</t>
  </si>
  <si>
    <t>Rémunérations d'intermédiaires et honoraires</t>
  </si>
  <si>
    <t>6142</t>
  </si>
  <si>
    <t>Transports</t>
  </si>
  <si>
    <t>6143</t>
  </si>
  <si>
    <t>Déplacements, missions et réceptions</t>
  </si>
  <si>
    <t>6145</t>
  </si>
  <si>
    <t>Frais postaux et frais de télécommunications</t>
  </si>
  <si>
    <t>6147</t>
  </si>
  <si>
    <t>Services bancaires</t>
  </si>
  <si>
    <t>6161</t>
  </si>
  <si>
    <t>Impôts et taxes directs</t>
  </si>
  <si>
    <t>6171</t>
  </si>
  <si>
    <t>Rémunérations du personnel</t>
  </si>
  <si>
    <t>6174</t>
  </si>
  <si>
    <t>Charges sociales</t>
  </si>
  <si>
    <t>6176</t>
  </si>
  <si>
    <t>Charges sociales diverses (formation)</t>
  </si>
  <si>
    <t>6182</t>
  </si>
  <si>
    <t>Pertes sur créances irrécouvrables</t>
  </si>
  <si>
    <t>6193</t>
  </si>
  <si>
    <t>Dotations d'exploitation aux amortissements des immobilisations corporelles</t>
  </si>
  <si>
    <t>6196</t>
  </si>
  <si>
    <t>Dotations d'exploitation aux provisions pour dépréciation de l'actif circulant</t>
  </si>
  <si>
    <t>6311</t>
  </si>
  <si>
    <t>Intérêts des emprunts et dettes</t>
  </si>
  <si>
    <t>6331</t>
  </si>
  <si>
    <t>Pertes de change propres à l'exercice</t>
  </si>
  <si>
    <t>6513</t>
  </si>
  <si>
    <t>VNA des immobilisations corporelles cédées</t>
  </si>
  <si>
    <t>6588</t>
  </si>
  <si>
    <t>Autres charges non courantes</t>
  </si>
  <si>
    <t>6701</t>
  </si>
  <si>
    <t>Impôts sur les bénéfices</t>
  </si>
  <si>
    <t>CLASSE 7 — COMPTES DE PRODUITS (mouvements du mois)</t>
  </si>
  <si>
    <t>7111</t>
  </si>
  <si>
    <t>Ventes de marchandises au Maroc</t>
  </si>
  <si>
    <t>7121</t>
  </si>
  <si>
    <t>Ventes de biens produits au Maroc</t>
  </si>
  <si>
    <t>7122</t>
  </si>
  <si>
    <t>Ventes de biens produits à l'étranger (export aéronautique)</t>
  </si>
  <si>
    <t>7131</t>
  </si>
  <si>
    <t>Variation des stocks de produits en cours (±)</t>
  </si>
  <si>
    <t>7132</t>
  </si>
  <si>
    <t>Variation des stocks de biens produits (±)</t>
  </si>
  <si>
    <t>7142</t>
  </si>
  <si>
    <t>Immobilisations corporelles produites (outillages)</t>
  </si>
  <si>
    <t>7161</t>
  </si>
  <si>
    <t>Subventions d'exploitation reçues (formation)</t>
  </si>
  <si>
    <t>7196</t>
  </si>
  <si>
    <t>Reprises sur provisions pour dépréciation de l'actif circulant</t>
  </si>
  <si>
    <t>7197</t>
  </si>
  <si>
    <t>Transferts de charges d'exploitation</t>
  </si>
  <si>
    <t>7331</t>
  </si>
  <si>
    <t>Gains de change propres à l'exercice</t>
  </si>
  <si>
    <t>7381</t>
  </si>
  <si>
    <t>Intérêts et produits assimilés</t>
  </si>
  <si>
    <t>7513</t>
  </si>
  <si>
    <t>Produits des cessions des immobilisations corporelles</t>
  </si>
  <si>
    <t>Contrôle d'équilibre : total Débits − total Crédits (doit être égal à 0)</t>
  </si>
  <si>
    <t>DONNÉES DE RÉFÉRENCE N-1 (exercice 2022) — fictives</t>
  </si>
  <si>
    <t>Résultat net 2022 (même mois N-1)</t>
  </si>
  <si>
    <t>COMPTE DE PRODUITS ET CHARGES (CPC) — Modèle normal CGNC — 2023</t>
  </si>
  <si>
    <t>Montants en MAD · Calcul automatique mensuel depuis l'onglet Balance (SOMMEPROD par racine de compte) · Données fictives</t>
  </si>
  <si>
    <t>Réf.</t>
  </si>
  <si>
    <t>DÉSIGNATION</t>
  </si>
  <si>
    <t>Comptes</t>
  </si>
  <si>
    <t>Exercice 2023</t>
  </si>
  <si>
    <t>I</t>
  </si>
  <si>
    <t>PRODUITS D'EXPLOITATION</t>
  </si>
  <si>
    <t>Ventes de marchandises (en l'état)</t>
  </si>
  <si>
    <t>711</t>
  </si>
  <si>
    <t>Ventes de biens et services produits</t>
  </si>
  <si>
    <t>712</t>
  </si>
  <si>
    <t>Chiffre d'affaires</t>
  </si>
  <si>
    <t>Variation de stocks de produits (±)</t>
  </si>
  <si>
    <t>713</t>
  </si>
  <si>
    <t>Immobilisations produites par l'entreprise pour elle-même</t>
  </si>
  <si>
    <t>714</t>
  </si>
  <si>
    <t>Subventions d'exploitation</t>
  </si>
  <si>
    <t>716</t>
  </si>
  <si>
    <t>Autres produits d'exploitation</t>
  </si>
  <si>
    <t>718</t>
  </si>
  <si>
    <t>Reprises d'exploitation ; transferts de charges</t>
  </si>
  <si>
    <t>719</t>
  </si>
  <si>
    <t>TOTAL I</t>
  </si>
  <si>
    <t>II</t>
  </si>
  <si>
    <t>CHARGES D'EXPLOITATION</t>
  </si>
  <si>
    <t>Achats revendus de marchandises</t>
  </si>
  <si>
    <t>611</t>
  </si>
  <si>
    <t>Achats consommés de matières et fournitures</t>
  </si>
  <si>
    <t>612</t>
  </si>
  <si>
    <t>Autres charges externes</t>
  </si>
  <si>
    <t>613 / 614</t>
  </si>
  <si>
    <t>Impôts et taxes</t>
  </si>
  <si>
    <t>616</t>
  </si>
  <si>
    <t>Charges de personnel</t>
  </si>
  <si>
    <t>617</t>
  </si>
  <si>
    <t>Autres charges d'exploitation</t>
  </si>
  <si>
    <t>618</t>
  </si>
  <si>
    <t>Dotations d'exploitation</t>
  </si>
  <si>
    <t>619</t>
  </si>
  <si>
    <t>TOTAL II</t>
  </si>
  <si>
    <t>III. RÉSULTAT D'EXPLOITATION (I − II)</t>
  </si>
  <si>
    <t>IV</t>
  </si>
  <si>
    <t>PRODUITS FINANCIERS</t>
  </si>
  <si>
    <t>Produits des titres de participation et autres titres immobilisés</t>
  </si>
  <si>
    <t>732</t>
  </si>
  <si>
    <t>Gains de change</t>
  </si>
  <si>
    <t>733</t>
  </si>
  <si>
    <t>Intérêts et autres produits financiers</t>
  </si>
  <si>
    <t>738</t>
  </si>
  <si>
    <t>Reprises financières ; transferts de charges</t>
  </si>
  <si>
    <t>739</t>
  </si>
  <si>
    <t>TOTAL IV</t>
  </si>
  <si>
    <t>V</t>
  </si>
  <si>
    <t>CHARGES FINANCIÈRES</t>
  </si>
  <si>
    <t>Charges d'intérêts</t>
  </si>
  <si>
    <t>631</t>
  </si>
  <si>
    <t>Pertes de change</t>
  </si>
  <si>
    <t>633</t>
  </si>
  <si>
    <t>Autres charges financières</t>
  </si>
  <si>
    <t>638</t>
  </si>
  <si>
    <t>Dotations financières</t>
  </si>
  <si>
    <t>639</t>
  </si>
  <si>
    <t>TOTAL V</t>
  </si>
  <si>
    <t>VI. RÉSULTAT FINANCIER (IV − V)</t>
  </si>
  <si>
    <t>VII. RÉSULTAT COURANT (III + VI)</t>
  </si>
  <si>
    <t>VIII</t>
  </si>
  <si>
    <t>PRODUITS NON COURANTS</t>
  </si>
  <si>
    <t>Produits des cessions d'immobilisations</t>
  </si>
  <si>
    <t>751</t>
  </si>
  <si>
    <t>Subventions d'équilibre</t>
  </si>
  <si>
    <t>756</t>
  </si>
  <si>
    <t>Reprises sur subventions d'investissement</t>
  </si>
  <si>
    <t>757</t>
  </si>
  <si>
    <t>Autres produits non courants</t>
  </si>
  <si>
    <t>758</t>
  </si>
  <si>
    <t>Reprises non courantes ; transferts de charges</t>
  </si>
  <si>
    <t>759</t>
  </si>
  <si>
    <t>TOTAL VIII</t>
  </si>
  <si>
    <t>IX</t>
  </si>
  <si>
    <t>CHARGES NON COURANTES</t>
  </si>
  <si>
    <t>Valeurs nettes d'amortissements des immobilisations cédées</t>
  </si>
  <si>
    <t>651</t>
  </si>
  <si>
    <t>Subventions accordées</t>
  </si>
  <si>
    <t>656</t>
  </si>
  <si>
    <t>658</t>
  </si>
  <si>
    <t>Dotations non courantes aux amortissements et aux provisions</t>
  </si>
  <si>
    <t>659</t>
  </si>
  <si>
    <t>TOTAL IX</t>
  </si>
  <si>
    <t>X. RÉSULTAT NON COURANT (VIII − IX)</t>
  </si>
  <si>
    <t>XI. RÉSULTAT AVANT IMPÔTS (VII + X)</t>
  </si>
  <si>
    <t>XII. IMPÔTS SUR LES RÉSULTATS</t>
  </si>
  <si>
    <t>670</t>
  </si>
  <si>
    <t>XIII. RÉSULTAT NET (XI − XII)</t>
  </si>
  <si>
    <t>XIV. TOTAL DES PRODUITS (I + IV + VIII)</t>
  </si>
  <si>
    <t>XV. TOTAL DES CHARGES (II + V + IX + XII)</t>
  </si>
  <si>
    <t>XIII. RÉSULTAT NET (XIV − XV) — contrôle</t>
  </si>
  <si>
    <t>Contrôle : écart entre les deux calculs du résultat net (doit être 0)</t>
  </si>
  <si>
    <t>ÉTAT DES SOLDES DE GESTION (ESG) — CGNC — 2023</t>
  </si>
  <si>
    <t>Montants en MAD · Calcul automatique mensuel depuis le CPC et la Balance · Données fictives</t>
  </si>
  <si>
    <t>Source</t>
  </si>
  <si>
    <t>A</t>
  </si>
  <si>
    <t>TABLEAU DE FORMATION DES RÉSULTATS (TFR)</t>
  </si>
  <si>
    <t>1. Ventes de marchandises (en l'état)</t>
  </si>
  <si>
    <t>CPC</t>
  </si>
  <si>
    <t>2. − Achats revendus de marchandises</t>
  </si>
  <si>
    <t>I. = MARGE BRUTE SUR VENTES EN L'ÉTAT</t>
  </si>
  <si>
    <t>3. Ventes de biens et services produits</t>
  </si>
  <si>
    <t>4. Variation de stocks de produits (±)</t>
  </si>
  <si>
    <t>5. Immobilisations produites par l'entreprise pour elle-même</t>
  </si>
  <si>
    <t>II. + PRODUCTION DE L'EXERCICE (3 + 4 + 5)</t>
  </si>
  <si>
    <t>6. Achats consommés de matières et fournitures</t>
  </si>
  <si>
    <t>7. Autres charges externes</t>
  </si>
  <si>
    <t>III. − CONSOMMATION DE L'EXERCICE (6 + 7)</t>
  </si>
  <si>
    <t>IV. = VALEUR AJOUTÉE (I + II − III)</t>
  </si>
  <si>
    <t>8. + Subventions d'exploitation</t>
  </si>
  <si>
    <t>9. − Impôts et taxes</t>
  </si>
  <si>
    <t>10. − Charges de personnel</t>
  </si>
  <si>
    <t>V. = EXCÉDENT BRUT D'EXPLOITATION (EBE) ou INSUFFISANCE (IBE)</t>
  </si>
  <si>
    <t>11. + Autres produits d'exploitation</t>
  </si>
  <si>
    <t>12. − Autres charges d'exploitation</t>
  </si>
  <si>
    <t>13. + Reprises d'exploitation, transferts de charges</t>
  </si>
  <si>
    <t>14. − Dotations d'exploitation</t>
  </si>
  <si>
    <t>VI. = RÉSULTAT D'EXPLOITATION (+ ou −)</t>
  </si>
  <si>
    <t>VII. ± RÉSULTAT FINANCIER</t>
  </si>
  <si>
    <t>VIII. = RÉSULTAT COURANT (+ ou −)</t>
  </si>
  <si>
    <t>IX. ± RÉSULTAT NON COURANT</t>
  </si>
  <si>
    <t>15. − Impôts sur les résultats</t>
  </si>
  <si>
    <t>X. = RÉSULTAT NET DE L'EXERCICE (+ ou −)</t>
  </si>
  <si>
    <t>B</t>
  </si>
  <si>
    <t>CAPACITÉ D'AUTOFINANCEMENT (CAF) — méthode additive CGNC</t>
  </si>
  <si>
    <t>1. Résultat net de l'exercice</t>
  </si>
  <si>
    <t>ESG</t>
  </si>
  <si>
    <t>2. + Dotations d'exploitation (hors actif circulant)</t>
  </si>
  <si>
    <t>Balance</t>
  </si>
  <si>
    <t>3. + Dotations financières</t>
  </si>
  <si>
    <t>4. + Dotations non courantes</t>
  </si>
  <si>
    <t>5. − Reprises d'exploitation (hors actif circulant et transferts de charges)</t>
  </si>
  <si>
    <t>6. − Reprises financières</t>
  </si>
  <si>
    <t>7. − Reprises non courantes</t>
  </si>
  <si>
    <t>8. − Produits des cessions d'immobilisations</t>
  </si>
  <si>
    <t>9. + Valeurs nettes d'amortissements des immobilisations cédées</t>
  </si>
  <si>
    <t>I. CAPACITÉ D'AUTOFINANCEMENT (CAF)</t>
  </si>
  <si>
    <t>Contrôle : Résultat net ESG − Résultat net CPC (doit être 0)</t>
  </si>
  <si>
    <t>REPORTING — Indicateurs clés et élasticité CA / REX — 2023</t>
  </si>
  <si>
    <t>Formules vivantes alimentées par le CPC, l'ESG et la Balance · Choisissez un mois en C4 · Données fictives</t>
  </si>
  <si>
    <t>▸ MOIS SÉLECTIONNÉ (sélecteur)</t>
  </si>
  <si>
    <t>← cliquez sur la cellule et choisissez un mois dans la liste</t>
  </si>
  <si>
    <t>Seuil « non significatif » : |variation du CA| inférieure à</t>
  </si>
  <si>
    <t>Élasticité « proportionnelle » : borne basse</t>
  </si>
  <si>
    <t>Élasticité « proportionnelle » : borne haute</t>
  </si>
  <si>
    <t>Indicateur</t>
  </si>
  <si>
    <t>Unité</t>
  </si>
  <si>
    <t>Repère</t>
  </si>
  <si>
    <t>Année 2023</t>
  </si>
  <si>
    <t>Mois sélectionné</t>
  </si>
  <si>
    <t>1. ÉLASTICITÉ CA / REX — le résultat d'exploitation suit-il le chiffre d'affaires ?</t>
  </si>
  <si>
    <t>MAD</t>
  </si>
  <si>
    <t>Variation du CA vs mois précédent</t>
  </si>
  <si>
    <t>%</t>
  </si>
  <si>
    <t>–</t>
  </si>
  <si>
    <t>Résultat d'exploitation (REX)</t>
  </si>
  <si>
    <t>Variation du REX vs mois précédent</t>
  </si>
  <si>
    <t>Marge d'exploitation (REX / CA)</t>
  </si>
  <si>
    <t>10 % à 15 %</t>
  </si>
  <si>
    <t>Élasticité REX / CA</t>
  </si>
  <si>
    <t>coef.</t>
  </si>
  <si>
    <t>&gt; 1 = levier positif</t>
  </si>
  <si>
    <t>Lecture de l'élasticité</t>
  </si>
  <si>
    <t>voir code couleur</t>
  </si>
  <si>
    <t>2. RENTABILITÉ ET PERFORMANCE</t>
  </si>
  <si>
    <t>Poids de la masse salariale / CA</t>
  </si>
  <si>
    <t>&lt; 30 %</t>
  </si>
  <si>
    <t>CAF / CA</t>
  </si>
  <si>
    <t>&gt; 10 %</t>
  </si>
  <si>
    <t>Résultat net</t>
  </si>
  <si>
    <t>Résultat net N-1 (même mois 2022)</t>
  </si>
  <si>
    <t>Taux de croissance du résultat net (vs N-1)</t>
  </si>
  <si>
    <t>5 % à 10 %</t>
  </si>
  <si>
    <t>Ratio de densité des charges externes (charges externes / CA)</t>
  </si>
  <si>
    <t>&lt; 10 %</t>
  </si>
  <si>
    <t>Charges variables (matières, sous-traitance, énergie, transports)</t>
  </si>
  <si>
    <t>hypothèse</t>
  </si>
  <si>
    <t>Marge sur coûts variables (MCV)</t>
  </si>
  <si>
    <t>Effet de levier opérationnel (MCV / REX)</t>
  </si>
  <si>
    <t>x</t>
  </si>
  <si>
    <t>2x à 4x</t>
  </si>
  <si>
    <t>3. INDICATEURS SPÉCIFIQUES AÉRONAUTIQUE</t>
  </si>
  <si>
    <t>Production de l'exercice</t>
  </si>
  <si>
    <t>Valeur ajoutée</t>
  </si>
  <si>
    <t>Taux de valeur ajoutée locale (VA / Production)</t>
  </si>
  <si>
    <t>&gt; 40 %</t>
  </si>
  <si>
    <t>Poids du personnel dans la valeur ajoutée</t>
  </si>
  <si>
    <t>&lt; 65 % sain</t>
  </si>
  <si>
    <t>Résultat de change net (gains − pertes)</t>
  </si>
  <si>
    <t>REX corrigé du change</t>
  </si>
  <si>
    <t>Part du change dans le REX</t>
  </si>
  <si>
    <t>&lt; 20 %</t>
  </si>
  <si>
    <t>4. FINANCEMENT, BFR ET CYCLE DE TRÉSORERIE</t>
  </si>
  <si>
    <t>Encours de la dette bancaire (fin de mois)</t>
  </si>
  <si>
    <t>Coût moyen de la dette (annualisé)</t>
  </si>
  <si>
    <t>4 % à 7 %</t>
  </si>
  <si>
    <t>Stocks (matières, en-cours, produits finis)</t>
  </si>
  <si>
    <t>Créances clients (brut)</t>
  </si>
  <si>
    <t>− Provisions pour dépréciation des clients</t>
  </si>
  <si>
    <t>Autres créances d'exploitation (État)</t>
  </si>
  <si>
    <t>Dettes fournisseurs</t>
  </si>
  <si>
    <t>Autres dettes d'exploitation (personnel, CNSS, État)</t>
  </si>
  <si>
    <t>BFR d'exploitation (mensuel)</t>
  </si>
  <si>
    <t>DSO — délai de paiement clients</t>
  </si>
  <si>
    <t>jours</t>
  </si>
  <si>
    <t>≈ 60 j</t>
  </si>
  <si>
    <t>DPO — délai de paiement fournisseurs</t>
  </si>
  <si>
    <t>60 à 75 j</t>
  </si>
  <si>
    <t>DIO — stocks en jours de CA</t>
  </si>
  <si>
    <t>60 à 90 j</t>
  </si>
  <si>
    <t>CCC — cycle de conversion du cash (DSO + DIO − DPO)</t>
  </si>
  <si>
    <t>le plus bas possible</t>
  </si>
  <si>
    <t>Code couleur de l'élasticité :</t>
  </si>
  <si>
    <t>▲ Levier fort / ▼ REX résiste / ▼ REX progresse</t>
  </si>
  <si>
    <t>Détail des règles : onglet « Lecture ».</t>
  </si>
  <si>
    <t>Proportionnel (le REX suit le CA)</t>
  </si>
  <si>
    <t>▲ Marge érodée</t>
  </si>
  <si>
    <t>▲ Sens contraire / ▼ REX chute plus vite</t>
  </si>
  <si>
    <t>n.s. = non significatif (CA quasi stable ou REX précédent ≤ 0)</t>
  </si>
  <si>
    <t>DASHBOARD — AéroTech Maroc — Performance 2023</t>
  </si>
  <si>
    <t>Tableau de bord interactif · Choisissez le mois en D4 : les cartes et la barre dorée se mettent à jour · Données fictives</t>
  </si>
  <si>
    <t>Mois analysé :</t>
  </si>
  <si>
    <t>◄ sélecteur de mois</t>
  </si>
  <si>
    <t>CHIFFRE D'AFFAIRES (MAD)</t>
  </si>
  <si>
    <t>DSO — DÉLAI CLIENTS</t>
  </si>
  <si>
    <t>DPO — DÉLAI FOURNISSEURS</t>
  </si>
  <si>
    <t>CROISSANCE RÉSULTAT NET</t>
  </si>
  <si>
    <t>Marge d'expl.</t>
  </si>
  <si>
    <t>Cycle cash</t>
  </si>
  <si>
    <t>RN du mois</t>
  </si>
  <si>
    <t>Astuce : les cartes, la barre dorée du graphique CA et la colonne « Mois sélectionné » du Reporting se pilotent par un sélecteur de mois (D4 ici, C4 dans le Reporting).</t>
  </si>
  <si>
    <t>Données des graphiques et des cartes (liées automatiquement à l'onglet Reporting — ne pas saisir)</t>
  </si>
  <si>
    <t>Mois</t>
  </si>
  <si>
    <t>CA</t>
  </si>
  <si>
    <t>REX</t>
  </si>
  <si>
    <t>DSO</t>
  </si>
  <si>
    <t>DPO</t>
  </si>
  <si>
    <t>Croissance RN</t>
  </si>
  <si>
    <t>Marge expl.</t>
  </si>
  <si>
    <t>CCC</t>
  </si>
  <si>
    <t>CA autres mois</t>
  </si>
  <si>
    <t>CA mois choisi</t>
  </si>
  <si>
    <t>LECTURE — Comprendre les indicateurs en 1 minute</t>
  </si>
  <si>
    <t>Explications simples, sans jargon, pour tous les lecteurs du reporting</t>
  </si>
  <si>
    <t>Ce que ça mesure</t>
  </si>
  <si>
    <t>Comment le lire</t>
  </si>
  <si>
    <t>Repère / alerte</t>
  </si>
  <si>
    <t>L'ÉLASTICITÉ CA / REX</t>
  </si>
  <si>
    <t>De combien bouge le résultat d'exploitation quand le chiffre d'affaires bouge de 1 %.</t>
  </si>
  <si>
    <t>Exemple : CA +10 % et REX +25 % → élasticité 2,5. Chaque point de CA gagné rapporte 2,5 points de REX.</t>
  </si>
  <si>
    <t>&gt; 1,2 levier fort · 0,8 à 1,2 proportionnel · 0 à 0,8 marge érodée · ≤ 0 sens contraire</t>
  </si>
  <si>
    <t>Quand le CA baisse</t>
  </si>
  <si>
    <t>La lecture s'inverse : on regarde si le REX résiste.</t>
  </si>
  <si>
    <t>Élasticité &gt; 1,2 : le REX chute plus vite que le CA (alerte). Entre 0 et 0,8 : le REX résiste. ≤ 0 : le REX progresse malgré la baisse.</t>
  </si>
  <si>
    <t>▼ REX chute plus vite = rouge</t>
  </si>
  <si>
    <t>n.s. (non significatif)</t>
  </si>
  <si>
    <t>Le calcul n'est pas affiché car il serait trompeur.</t>
  </si>
  <si>
    <t>Cas 1 : le CA a bougé de moins de 2 % → on divise par un tout petit chiffre et le résultat explose. Cas 2 : le REX du mois précédent est négatif ou nul → le signe s'inverse ou division par zéro.</t>
  </si>
  <si>
    <t>Regarder directement les lignes « Variation du CA » et « Variation du REX »</t>
  </si>
  <si>
    <t>RENTABILITÉ</t>
  </si>
  <si>
    <t>Marge d'exploitation</t>
  </si>
  <si>
    <t>Sur 100 MAD de ventes, combien il reste après les coûts d'exploitation.</t>
  </si>
  <si>
    <t>Plus elle est haute, plus le métier est rentable. Comparer mois par mois et à l'année.</t>
  </si>
  <si>
    <t>Repère PME aéronautique : 10 % à 15 %</t>
  </si>
  <si>
    <t>Masse salariale / CA</t>
  </si>
  <si>
    <t>Le poids des salaires et charges sociales dans les ventes.</t>
  </si>
  <si>
    <t>S'il monte alors que le CA monte aussi, l'entreprise subit le volume (heures sup., rebuts).</t>
  </si>
  <si>
    <t>La part des ventes qui se transforme en argent disponible pour investir ou rembourser.</t>
  </si>
  <si>
    <t>C'est le résultat « cash » : on rajoute les amortissements qui ne sortent pas de la trésorerie.</t>
  </si>
  <si>
    <t>Croissance du résultat net</t>
  </si>
  <si>
    <t>L'évolution du bénéfice par rapport au même mois de l'année précédente.</t>
  </si>
  <si>
    <t>Comparer au même mois de N-1 évite l'effet des saisons (août, décembre).</t>
  </si>
  <si>
    <t>Repère : +5 % à +10 %</t>
  </si>
  <si>
    <t>Densité des charges externes</t>
  </si>
  <si>
    <t>Le poids des loyers, entretien, honoraires, transports… dans les ventes.</t>
  </si>
  <si>
    <t>Une hausse sans hausse du CA signale des frais de structure qui dérivent.</t>
  </si>
  <si>
    <t>Effet de levier opérationnel</t>
  </si>
  <si>
    <t>La sensibilité « théorique » du REX au CA, calculée avec les charges fixes.</t>
  </si>
  <si>
    <t>3x signifie : +1 % de CA ≈ +3 % de REX. Plus il est élevé, plus l'entreprise est exposée en cas de baisse.</t>
  </si>
  <si>
    <t>2x à 4x normal · très élevé = forte dépendance aux volumes</t>
  </si>
  <si>
    <t>SPÉCIFIQUE AÉRONAUTIQUE</t>
  </si>
  <si>
    <t>Taux de valeur ajoutée locale</t>
  </si>
  <si>
    <t>La richesse réellement créée dans l'usine par rapport à la production.</t>
  </si>
  <si>
    <t>Bas : l'entreprise revend surtout de la matière. Très haut avec peu d'achats : matière fournie par le client.</t>
  </si>
  <si>
    <t>Poids du personnel dans la VA</t>
  </si>
  <si>
    <t>La part de la richesse créée qui sert à payer le personnel.</t>
  </si>
  <si>
    <t>Il doit baisser quand la cadence monte (effet d'apprentissage).</t>
  </si>
  <si>
    <t>&lt; 65 % sain · 65-80 % tendu · &gt; 80 % alerte</t>
  </si>
  <si>
    <t>Le résultat d'exploitation en réintégrant les gains et pertes de change.</t>
  </si>
  <si>
    <t>En CGNC, le change sur les ventes en EUR/USD va en résultat financier : on le réintègre pour voir la vraie performance.</t>
  </si>
  <si>
    <t>Part du change &lt; 20 % du REX</t>
  </si>
  <si>
    <t>FINANCEMENT ET TRÉSORERIE</t>
  </si>
  <si>
    <t>Coût moyen de la dette</t>
  </si>
  <si>
    <t>Le taux d'intérêt réel payé sur les emprunts.</t>
  </si>
  <si>
    <t>À comparer à la rentabilité de l'exploitation : la dette doit coûter moins qu'elle ne rapporte.</t>
  </si>
  <si>
    <t>BFR d'exploitation</t>
  </si>
  <si>
    <t>L'argent bloqué dans les stocks et les factures clients, moins ce qu'on doit aux fournisseurs.</t>
  </si>
  <si>
    <t>Plus il grossit, plus il faut de trésorerie pour faire tourner l'usine.</t>
  </si>
  <si>
    <t>À suivre chaque mois</t>
  </si>
  <si>
    <t>Le nombre de jours que mettent les clients à payer.</t>
  </si>
  <si>
    <t>Plus il est court, mieux c'est.</t>
  </si>
  <si>
    <t>≈ 60 jours</t>
  </si>
  <si>
    <t>Le nombre de jours que l'entreprise met à payer ses fournisseurs.</t>
  </si>
  <si>
    <t>Un DPO plus long que le DSO soulage la trésorerie (dans le respect des délais légaux).</t>
  </si>
  <si>
    <t>60 à 75 jours</t>
  </si>
  <si>
    <t>DIO</t>
  </si>
  <si>
    <t>Le nombre de jours de ventes immobilisés en stock.</t>
  </si>
  <si>
    <t>Élevé dans l'aéronautique (cycles longs).</t>
  </si>
  <si>
    <t>60 à 90 jours</t>
  </si>
  <si>
    <t>CCC (cycle de cash)</t>
  </si>
  <si>
    <t>Le nombre de jours entre le paiement des fournisseurs et l'encaissement des clients.</t>
  </si>
  <si>
    <t>CCC = DSO + DIO − DPO. Plus il est court, moins l'entreprise a besoin de financement.</t>
  </si>
  <si>
    <t>Le plus bas possible</t>
  </si>
  <si>
    <t>Code couleur du Reporting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</si>
</sst>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;\(#,##0\);\-"/>
    <numFmt numFmtId="165" formatCode="0.0"/>
    <numFmt numFmtId="166" formatCode="\+0.0%;\-0.0%;0.0%"/>
    <numFmt numFmtId="167" formatCode="0.0%;\-0.0%;\-"/>
    <numFmt numFmtId="168" formatCode="0.0;\-0.0;0.0"/>
    <numFmt numFmtId="169" formatCode="0.0\x;\-0.0\x;\-"/>
    <numFmt numFmtId="170" formatCode="0&quot; j&quot;;\-0&quot; j&quot;;\-"/>
  </numFmts>
  <fonts count="34" x14ac:knownFonts="1">
    <font>
      <sz val="10"/>
      <name val="Arial"/>
      <charset val="1"/>
    </font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i/>
      <sz val="10"/>
      <color rgb="FFF6EED8"/>
      <name val="Arial"/>
      <charset val="1"/>
    </font>
    <font>
      <b/>
      <sz val="11"/>
      <color rgb="FF7A1E2C"/>
      <name val="Arial"/>
      <charset val="1"/>
    </font>
    <font>
      <sz val="10"/>
      <color rgb="FF8A7F80"/>
      <name val="Arial"/>
      <charset val="1"/>
    </font>
    <font>
      <b/>
      <sz val="10"/>
      <color rgb="FF3A2A2D"/>
      <name val="Arial"/>
      <charset val="1"/>
    </font>
    <font>
      <b/>
      <u/>
      <sz val="11"/>
      <color rgb="FF7A1E2C"/>
      <name val="Arial"/>
      <charset val="1"/>
    </font>
    <font>
      <sz val="10"/>
      <color rgb="FF3A2A2D"/>
      <name val="Arial"/>
      <charset val="1"/>
    </font>
    <font>
      <b/>
      <sz val="10"/>
      <color rgb="FF2E6B3A"/>
      <name val="Arial"/>
      <charset val="1"/>
    </font>
    <font>
      <sz val="10"/>
      <color rgb="FF0000FF"/>
      <name val="Arial"/>
      <charset val="1"/>
    </font>
    <font>
      <b/>
      <sz val="10"/>
      <color rgb="FF7A1E2C"/>
      <name val="Arial"/>
      <charset val="1"/>
    </font>
    <font>
      <b/>
      <sz val="15"/>
      <color rgb="FFFFFFFF"/>
      <name val="Arial"/>
      <charset val="1"/>
    </font>
    <font>
      <b/>
      <u/>
      <sz val="10"/>
      <color rgb="FFC9A54C"/>
      <name val="Arial"/>
      <charset val="1"/>
    </font>
    <font>
      <i/>
      <sz val="9"/>
      <color rgb="FFF6EED8"/>
      <name val="Arial"/>
      <charset val="1"/>
    </font>
    <font>
      <b/>
      <sz val="9"/>
      <color rgb="FF8A7F80"/>
      <name val="Arial"/>
      <charset val="1"/>
    </font>
    <font>
      <i/>
      <sz val="9"/>
      <color rgb="FF0000FF"/>
      <name val="Arial"/>
      <charset val="1"/>
    </font>
    <font>
      <b/>
      <sz val="10"/>
      <color rgb="FFFFFFFF"/>
      <name val="Arial"/>
      <charset val="1"/>
    </font>
    <font>
      <sz val="10"/>
      <name val="Arial"/>
      <family val="2"/>
    </font>
    <font>
      <sz val="9"/>
      <color rgb="FF8A7F80"/>
      <name val="Arial"/>
      <charset val="1"/>
    </font>
    <font>
      <i/>
      <sz val="9"/>
      <color rgb="FF8A7F80"/>
      <name val="Arial"/>
      <charset val="1"/>
    </font>
    <font>
      <b/>
      <sz val="9"/>
      <color rgb="FF3A2A2D"/>
      <name val="Arial"/>
      <charset val="1"/>
    </font>
    <font>
      <b/>
      <sz val="9"/>
      <color rgb="FF2E6B3A"/>
      <name val="Arial"/>
      <charset val="1"/>
    </font>
    <font>
      <b/>
      <sz val="9"/>
      <color rgb="FF2F4F7A"/>
      <name val="Arial"/>
      <charset val="1"/>
    </font>
    <font>
      <b/>
      <sz val="9"/>
      <color rgb="FF8A5A12"/>
      <name val="Arial"/>
      <charset val="1"/>
    </font>
    <font>
      <b/>
      <sz val="9"/>
      <color rgb="FF8E1F2B"/>
      <name val="Arial"/>
      <charset val="1"/>
    </font>
    <font>
      <b/>
      <sz val="9"/>
      <color rgb="FF7A7272"/>
      <name val="Arial"/>
      <charset val="1"/>
    </font>
    <font>
      <b/>
      <sz val="9"/>
      <color rgb="FFFFFFFF"/>
      <name val="Arial"/>
      <charset val="1"/>
    </font>
    <font>
      <b/>
      <sz val="20"/>
      <color rgb="FF7A1E2C"/>
      <name val="Arial"/>
      <charset val="1"/>
    </font>
    <font>
      <sz val="8"/>
      <color rgb="FF8A7F80"/>
      <name val="Arial"/>
      <charset val="1"/>
    </font>
    <font>
      <b/>
      <sz val="9"/>
      <color rgb="FF7A1E2C"/>
      <name val="Arial"/>
      <charset val="1"/>
    </font>
    <font>
      <b/>
      <sz val="8"/>
      <color rgb="FFFFFFFF"/>
      <name val="Arial"/>
      <charset val="1"/>
    </font>
    <font>
      <sz val="8"/>
      <color rgb="FF3A2A2D"/>
      <name val="Arial"/>
      <charset val="1"/>
    </font>
    <font>
      <i/>
      <sz val="10"/>
      <color rgb="FF8A7F80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7A1E2C"/>
        <bgColor rgb="FF8E1F2B"/>
      </patternFill>
    </fill>
    <fill>
      <patternFill patternType="solid">
        <fgColor rgb="FFF6ECEE"/>
        <bgColor rgb="FFEFEDEC"/>
      </patternFill>
    </fill>
    <fill>
      <patternFill patternType="solid">
        <fgColor rgb="FFF6EED8"/>
        <bgColor rgb="FFFBEAD3"/>
      </patternFill>
    </fill>
    <fill>
      <patternFill patternType="solid">
        <fgColor rgb="FFC9A54C"/>
        <bgColor rgb="FFFF8080"/>
      </patternFill>
    </fill>
    <fill>
      <patternFill patternType="solid">
        <fgColor rgb="FFE2EFE3"/>
        <bgColor rgb="FFE3EBF5"/>
      </patternFill>
    </fill>
    <fill>
      <patternFill patternType="solid">
        <fgColor rgb="FFE3EBF5"/>
        <bgColor rgb="FFE2EFE3"/>
      </patternFill>
    </fill>
    <fill>
      <patternFill patternType="solid">
        <fgColor rgb="FFFBEAD3"/>
        <bgColor rgb="FFF6EED8"/>
      </patternFill>
    </fill>
    <fill>
      <patternFill patternType="solid">
        <fgColor rgb="FFF5DCDD"/>
        <bgColor rgb="FFFBEAD3"/>
      </patternFill>
    </fill>
    <fill>
      <patternFill patternType="solid">
        <fgColor rgb="FFEFEDEC"/>
        <bgColor rgb="FFF6ECEE"/>
      </patternFill>
    </fill>
    <fill>
      <patternFill patternType="solid">
        <fgColor rgb="FFFBF8F2"/>
        <bgColor rgb="FFFFFFFF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C9A54C"/>
      </bottom>
      <diagonal/>
    </border>
    <border>
      <left/>
      <right/>
      <top/>
      <bottom style="thin">
        <color rgb="FFE2D6D0"/>
      </bottom>
      <diagonal/>
    </border>
    <border>
      <left style="medium">
        <color rgb="FFC9A54C"/>
      </left>
      <right style="medium">
        <color rgb="FFC9A54C"/>
      </right>
      <top style="medium">
        <color rgb="FFC9A54C"/>
      </top>
      <bottom style="medium">
        <color rgb="FFC9A54C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22" fillId="6" borderId="0" xfId="0" applyFont="1" applyFill="1" applyAlignment="1">
      <alignment vertical="center"/>
    </xf>
    <xf numFmtId="164" fontId="30" fillId="4" borderId="1" xfId="0" applyNumberFormat="1" applyFont="1" applyFill="1" applyBorder="1" applyAlignment="1">
      <alignment horizontal="right" vertical="center"/>
    </xf>
    <xf numFmtId="170" fontId="30" fillId="4" borderId="1" xfId="0" applyNumberFormat="1" applyFont="1" applyFill="1" applyBorder="1" applyAlignment="1">
      <alignment horizontal="right" vertical="center"/>
    </xf>
    <xf numFmtId="0" fontId="30" fillId="4" borderId="1" xfId="0" applyFont="1" applyFill="1" applyBorder="1" applyAlignment="1">
      <alignment horizontal="right" vertical="center"/>
    </xf>
    <xf numFmtId="167" fontId="30" fillId="4" borderId="1" xfId="0" applyNumberFormat="1" applyFont="1" applyFill="1" applyBorder="1" applyAlignment="1">
      <alignment horizontal="right" vertical="center"/>
    </xf>
    <xf numFmtId="0" fontId="29" fillId="4" borderId="1" xfId="0" applyFont="1" applyFill="1" applyBorder="1" applyAlignment="1">
      <alignment horizontal="left" vertical="center"/>
    </xf>
    <xf numFmtId="166" fontId="28" fillId="11" borderId="0" xfId="0" applyNumberFormat="1" applyFont="1" applyFill="1" applyAlignment="1">
      <alignment horizontal="center" vertical="center"/>
    </xf>
    <xf numFmtId="170" fontId="28" fillId="11" borderId="0" xfId="0" applyNumberFormat="1" applyFont="1" applyFill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1" fillId="2" borderId="1" xfId="0" applyFont="1" applyFill="1" applyBorder="1"/>
    <xf numFmtId="0" fontId="3" fillId="2" borderId="1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1" fillId="3" borderId="0" xfId="0" applyFont="1" applyFill="1"/>
    <xf numFmtId="0" fontId="5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2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1" fillId="4" borderId="2" xfId="0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right" vertical="center"/>
    </xf>
    <xf numFmtId="0" fontId="14" fillId="2" borderId="1" xfId="0" applyFont="1" applyFill="1" applyBorder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2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8" fillId="0" borderId="2" xfId="0" applyFont="1" applyBorder="1" applyAlignment="1">
      <alignment horizontal="center" vertical="center"/>
    </xf>
    <xf numFmtId="1" fontId="8" fillId="0" borderId="2" xfId="0" applyNumberFormat="1" applyFont="1" applyBorder="1" applyAlignment="1">
      <alignment horizontal="center" vertical="center"/>
    </xf>
    <xf numFmtId="164" fontId="10" fillId="0" borderId="2" xfId="0" applyNumberFormat="1" applyFont="1" applyBorder="1" applyAlignment="1">
      <alignment vertical="center"/>
    </xf>
    <xf numFmtId="164" fontId="6" fillId="0" borderId="2" xfId="0" applyNumberFormat="1" applyFont="1" applyBorder="1" applyAlignment="1">
      <alignment vertical="center"/>
    </xf>
    <xf numFmtId="0" fontId="1" fillId="0" borderId="2" xfId="0" applyFont="1" applyBorder="1"/>
    <xf numFmtId="0" fontId="1" fillId="4" borderId="0" xfId="0" applyFont="1" applyFill="1"/>
    <xf numFmtId="0" fontId="11" fillId="4" borderId="0" xfId="0" applyFont="1" applyFill="1" applyAlignment="1">
      <alignment vertical="center"/>
    </xf>
    <xf numFmtId="164" fontId="6" fillId="4" borderId="0" xfId="0" applyNumberFormat="1" applyFont="1" applyFill="1" applyAlignment="1">
      <alignment vertical="center"/>
    </xf>
    <xf numFmtId="164" fontId="10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11" fillId="3" borderId="0" xfId="0" applyFont="1" applyFill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164" fontId="8" fillId="0" borderId="2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4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164" fontId="17" fillId="2" borderId="0" xfId="0" applyNumberFormat="1" applyFont="1" applyFill="1" applyAlignment="1">
      <alignment vertical="center"/>
    </xf>
    <xf numFmtId="0" fontId="20" fillId="0" borderId="0" xfId="0" applyFont="1" applyAlignment="1">
      <alignment vertical="center"/>
    </xf>
    <xf numFmtId="164" fontId="19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11" fillId="4" borderId="3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9" fontId="10" fillId="4" borderId="0" xfId="0" applyNumberFormat="1" applyFont="1" applyFill="1" applyAlignment="1">
      <alignment horizontal="center" vertical="center"/>
    </xf>
    <xf numFmtId="165" fontId="10" fillId="4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164" fontId="6" fillId="4" borderId="2" xfId="0" applyNumberFormat="1" applyFont="1" applyFill="1" applyBorder="1" applyAlignment="1">
      <alignment vertical="center"/>
    </xf>
    <xf numFmtId="164" fontId="11" fillId="3" borderId="2" xfId="0" applyNumberFormat="1" applyFont="1" applyFill="1" applyBorder="1" applyAlignment="1">
      <alignment vertical="center"/>
    </xf>
    <xf numFmtId="166" fontId="8" fillId="0" borderId="2" xfId="0" applyNumberFormat="1" applyFont="1" applyBorder="1" applyAlignment="1">
      <alignment vertical="center"/>
    </xf>
    <xf numFmtId="166" fontId="6" fillId="4" borderId="2" xfId="0" applyNumberFormat="1" applyFont="1" applyFill="1" applyBorder="1" applyAlignment="1">
      <alignment horizontal="center" vertical="center"/>
    </xf>
    <xf numFmtId="166" fontId="11" fillId="3" borderId="2" xfId="0" applyNumberFormat="1" applyFont="1" applyFill="1" applyBorder="1" applyAlignment="1">
      <alignment vertical="center"/>
    </xf>
    <xf numFmtId="167" fontId="8" fillId="0" borderId="2" xfId="0" applyNumberFormat="1" applyFont="1" applyBorder="1" applyAlignment="1">
      <alignment vertical="center"/>
    </xf>
    <xf numFmtId="167" fontId="6" fillId="4" borderId="2" xfId="0" applyNumberFormat="1" applyFont="1" applyFill="1" applyBorder="1" applyAlignment="1">
      <alignment vertical="center"/>
    </xf>
    <xf numFmtId="167" fontId="11" fillId="3" borderId="2" xfId="0" applyNumberFormat="1" applyFont="1" applyFill="1" applyBorder="1" applyAlignment="1">
      <alignment vertical="center"/>
    </xf>
    <xf numFmtId="168" fontId="6" fillId="0" borderId="2" xfId="0" applyNumberFormat="1" applyFont="1" applyBorder="1" applyAlignment="1">
      <alignment horizontal="center" vertical="center"/>
    </xf>
    <xf numFmtId="168" fontId="6" fillId="4" borderId="2" xfId="0" applyNumberFormat="1" applyFont="1" applyFill="1" applyBorder="1" applyAlignment="1">
      <alignment horizontal="center" vertical="center"/>
    </xf>
    <xf numFmtId="168" fontId="11" fillId="3" borderId="2" xfId="0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166" fontId="6" fillId="4" borderId="2" xfId="0" applyNumberFormat="1" applyFont="1" applyFill="1" applyBorder="1" applyAlignment="1">
      <alignment vertical="center"/>
    </xf>
    <xf numFmtId="169" fontId="8" fillId="0" borderId="2" xfId="0" applyNumberFormat="1" applyFont="1" applyBorder="1" applyAlignment="1">
      <alignment vertical="center"/>
    </xf>
    <xf numFmtId="169" fontId="6" fillId="4" borderId="2" xfId="0" applyNumberFormat="1" applyFont="1" applyFill="1" applyBorder="1" applyAlignment="1">
      <alignment vertical="center"/>
    </xf>
    <xf numFmtId="169" fontId="11" fillId="3" borderId="2" xfId="0" applyNumberFormat="1" applyFont="1" applyFill="1" applyBorder="1" applyAlignment="1">
      <alignment vertical="center"/>
    </xf>
    <xf numFmtId="170" fontId="8" fillId="0" borderId="2" xfId="0" applyNumberFormat="1" applyFont="1" applyBorder="1" applyAlignment="1">
      <alignment vertical="center"/>
    </xf>
    <xf numFmtId="170" fontId="6" fillId="4" borderId="2" xfId="0" applyNumberFormat="1" applyFont="1" applyFill="1" applyBorder="1" applyAlignment="1">
      <alignment vertical="center"/>
    </xf>
    <xf numFmtId="170" fontId="11" fillId="3" borderId="2" xfId="0" applyNumberFormat="1" applyFont="1" applyFill="1" applyBorder="1" applyAlignment="1">
      <alignment vertical="center"/>
    </xf>
    <xf numFmtId="0" fontId="22" fillId="6" borderId="0" xfId="0" applyFont="1" applyFill="1" applyAlignment="1">
      <alignment vertical="center"/>
    </xf>
    <xf numFmtId="0" fontId="23" fillId="7" borderId="0" xfId="0" applyFont="1" applyFill="1" applyAlignment="1">
      <alignment vertical="center"/>
    </xf>
    <xf numFmtId="0" fontId="24" fillId="8" borderId="0" xfId="0" applyFont="1" applyFill="1" applyAlignment="1">
      <alignment vertical="center"/>
    </xf>
    <xf numFmtId="0" fontId="25" fillId="9" borderId="0" xfId="0" applyFont="1" applyFill="1" applyAlignment="1">
      <alignment vertical="center"/>
    </xf>
    <xf numFmtId="0" fontId="26" fillId="10" borderId="0" xfId="0" applyFont="1" applyFill="1" applyAlignment="1">
      <alignment vertical="center"/>
    </xf>
    <xf numFmtId="0" fontId="31" fillId="2" borderId="0" xfId="0" applyFont="1" applyFill="1" applyAlignment="1">
      <alignment horizontal="center" vertical="center" wrapText="1"/>
    </xf>
    <xf numFmtId="0" fontId="32" fillId="0" borderId="0" xfId="0" applyFont="1" applyAlignment="1">
      <alignment vertical="center"/>
    </xf>
    <xf numFmtId="164" fontId="32" fillId="0" borderId="0" xfId="0" applyNumberFormat="1" applyFont="1" applyAlignment="1">
      <alignment vertical="center"/>
    </xf>
    <xf numFmtId="170" fontId="32" fillId="0" borderId="0" xfId="0" applyNumberFormat="1" applyFont="1" applyAlignment="1">
      <alignment vertical="center"/>
    </xf>
    <xf numFmtId="166" fontId="32" fillId="0" borderId="0" xfId="0" applyNumberFormat="1" applyFont="1" applyAlignment="1">
      <alignment vertical="center"/>
    </xf>
    <xf numFmtId="167" fontId="32" fillId="0" borderId="0" xfId="0" applyNumberFormat="1" applyFont="1" applyAlignment="1">
      <alignment vertical="center"/>
    </xf>
    <xf numFmtId="0" fontId="17" fillId="2" borderId="0" xfId="0" applyFont="1" applyFill="1" applyAlignment="1">
      <alignment horizontal="center" vertical="center"/>
    </xf>
    <xf numFmtId="0" fontId="11" fillId="0" borderId="2" xfId="0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33" fillId="0" borderId="2" xfId="0" applyFont="1" applyBorder="1" applyAlignment="1">
      <alignment vertical="top" wrapText="1"/>
    </xf>
    <xf numFmtId="0" fontId="23" fillId="7" borderId="0" xfId="0" applyFont="1" applyFill="1" applyAlignment="1">
      <alignment vertical="center"/>
    </xf>
    <xf numFmtId="0" fontId="24" fillId="8" borderId="0" xfId="0" applyFont="1" applyFill="1" applyAlignment="1">
      <alignment vertical="center"/>
    </xf>
    <xf numFmtId="0" fontId="25" fillId="9" borderId="0" xfId="0" applyFont="1" applyFill="1" applyAlignment="1">
      <alignment vertical="center"/>
    </xf>
    <xf numFmtId="0" fontId="26" fillId="10" borderId="0" xfId="0" applyFont="1" applyFill="1" applyAlignment="1">
      <alignment vertical="center"/>
    </xf>
  </cellXfs>
  <cellStyles count="1">
    <cellStyle name="Normal" xfId="0" builtinId="0"/>
  </cellStyles>
  <dxfs count="23">
    <dxf>
      <font>
        <b/>
        <color rgb="FF8E1F2B"/>
        <name val="Arial"/>
        <charset val="1"/>
      </font>
      <fill>
        <patternFill>
          <bgColor rgb="FFF5DCDD"/>
        </patternFill>
      </fill>
    </dxf>
    <dxf>
      <font>
        <b/>
        <color rgb="FF8A5A12"/>
        <name val="Arial"/>
        <charset val="1"/>
      </font>
      <fill>
        <patternFill>
          <bgColor rgb="FFFBEAD3"/>
        </patternFill>
      </fill>
    </dxf>
    <dxf>
      <font>
        <b/>
        <color rgb="FF2E6B3A"/>
        <name val="Arial"/>
        <charset val="1"/>
      </font>
      <fill>
        <patternFill>
          <bgColor rgb="FFE2EFE3"/>
        </patternFill>
      </fill>
    </dxf>
    <dxf>
      <font>
        <b/>
        <color rgb="FF8E1F2B"/>
        <name val="Arial"/>
        <charset val="1"/>
      </font>
      <fill>
        <patternFill>
          <bgColor rgb="FFF5DCDD"/>
        </patternFill>
      </fill>
    </dxf>
    <dxf>
      <font>
        <b/>
        <color rgb="FF8A5A12"/>
        <name val="Arial"/>
        <charset val="1"/>
      </font>
      <fill>
        <patternFill>
          <bgColor rgb="FFFBEAD3"/>
        </patternFill>
      </fill>
    </dxf>
    <dxf>
      <font>
        <b/>
        <color rgb="FF2E6B3A"/>
        <name val="Arial"/>
        <charset val="1"/>
      </font>
      <fill>
        <patternFill>
          <bgColor rgb="FFE2EFE3"/>
        </patternFill>
      </fill>
    </dxf>
    <dxf>
      <font>
        <b/>
        <color rgb="FF8E1F2B"/>
        <name val="Arial"/>
        <charset val="1"/>
      </font>
      <fill>
        <patternFill>
          <bgColor rgb="FFF5DCDD"/>
        </patternFill>
      </fill>
    </dxf>
    <dxf>
      <font>
        <b/>
        <color rgb="FF8A5A12"/>
        <name val="Arial"/>
        <charset val="1"/>
      </font>
      <fill>
        <patternFill>
          <bgColor rgb="FFFBEAD3"/>
        </patternFill>
      </fill>
    </dxf>
    <dxf>
      <font>
        <b/>
        <color rgb="FF2E6B3A"/>
        <name val="Arial"/>
        <charset val="1"/>
      </font>
      <fill>
        <patternFill>
          <bgColor rgb="FFE2EFE3"/>
        </patternFill>
      </fill>
    </dxf>
    <dxf>
      <font>
        <b/>
        <color rgb="FF8E1F2B"/>
        <name val="Arial"/>
        <charset val="1"/>
      </font>
      <fill>
        <patternFill>
          <bgColor rgb="FFF5DCDD"/>
        </patternFill>
      </fill>
    </dxf>
    <dxf>
      <font>
        <b/>
        <color rgb="FF8A5A12"/>
        <name val="Arial"/>
        <charset val="1"/>
      </font>
      <fill>
        <patternFill>
          <bgColor rgb="FFFBEAD3"/>
        </patternFill>
      </fill>
    </dxf>
    <dxf>
      <font>
        <b/>
        <color rgb="FF2E6B3A"/>
        <name val="Arial"/>
        <charset val="1"/>
      </font>
      <fill>
        <patternFill>
          <bgColor rgb="FFE2EFE3"/>
        </patternFill>
      </fill>
    </dxf>
    <dxf>
      <font>
        <color rgb="FF7A7272"/>
        <name val="Arial"/>
        <charset val="1"/>
      </font>
      <fill>
        <patternFill>
          <bgColor rgb="FFEFEDEC"/>
        </patternFill>
      </fill>
    </dxf>
    <dxf>
      <font>
        <b/>
        <color rgb="FF8E1F2B"/>
        <name val="Arial"/>
        <charset val="1"/>
      </font>
      <fill>
        <patternFill>
          <bgColor rgb="FFF5DCDD"/>
        </patternFill>
      </fill>
    </dxf>
    <dxf>
      <font>
        <b/>
        <color rgb="FF8A5A12"/>
        <name val="Arial"/>
        <charset val="1"/>
      </font>
      <fill>
        <patternFill>
          <bgColor rgb="FFFBEAD3"/>
        </patternFill>
      </fill>
    </dxf>
    <dxf>
      <font>
        <b/>
        <color rgb="FF2F4F7A"/>
        <name val="Arial"/>
        <charset val="1"/>
      </font>
      <fill>
        <patternFill>
          <bgColor rgb="FFE3EBF5"/>
        </patternFill>
      </fill>
    </dxf>
    <dxf>
      <font>
        <b/>
        <color rgb="FF2E6B3A"/>
        <name val="Arial"/>
        <charset val="1"/>
      </font>
      <fill>
        <patternFill>
          <bgColor rgb="FFE2EFE3"/>
        </patternFill>
      </fill>
    </dxf>
    <dxf>
      <font>
        <b/>
        <color rgb="FF8E1F2B"/>
        <name val="Arial"/>
        <charset val="1"/>
      </font>
      <fill>
        <patternFill>
          <bgColor rgb="FFF5DCDD"/>
        </patternFill>
      </fill>
    </dxf>
    <dxf>
      <font>
        <b/>
        <color rgb="FF8A5A12"/>
        <name val="Arial"/>
        <charset val="1"/>
      </font>
      <fill>
        <patternFill>
          <bgColor rgb="FFFBEAD3"/>
        </patternFill>
      </fill>
    </dxf>
    <dxf>
      <font>
        <b/>
        <color rgb="FF2E6B3A"/>
        <name val="Arial"/>
        <charset val="1"/>
      </font>
      <fill>
        <patternFill>
          <bgColor rgb="FFE2EFE3"/>
        </patternFill>
      </fill>
    </dxf>
    <dxf>
      <fill>
        <patternFill>
          <bgColor rgb="FFF6EED8"/>
        </patternFill>
      </fill>
    </dxf>
    <dxf>
      <font>
        <b/>
        <color rgb="FF7A1E2C"/>
        <name val="Arial"/>
        <charset val="1"/>
      </font>
      <fill>
        <patternFill>
          <bgColor rgb="FFC9A54C"/>
        </patternFill>
      </fill>
    </dxf>
    <dxf>
      <font>
        <b/>
        <color rgb="FF8E1F2B"/>
        <name val="Arial"/>
        <charset val="1"/>
      </font>
      <fill>
        <patternFill>
          <bgColor rgb="FFF5DCD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A1E2C"/>
      <rgbColor rgb="FF2E6B3A"/>
      <rgbColor rgb="FF000080"/>
      <rgbColor rgb="FF8A5A12"/>
      <rgbColor rgb="FF800080"/>
      <rgbColor rgb="FF008080"/>
      <rgbColor rgb="FFF5DCDD"/>
      <rgbColor rgb="FF8A7F80"/>
      <rgbColor rgb="FF9999FF"/>
      <rgbColor rgb="FF993366"/>
      <rgbColor rgb="FFFBF8F2"/>
      <rgbColor rgb="FFE3EB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DEC"/>
      <rgbColor rgb="FFE2EFE3"/>
      <rgbColor rgb="FFF6EED8"/>
      <rgbColor rgb="FFF6ECEE"/>
      <rgbColor rgb="FFFBEAD3"/>
      <rgbColor rgb="FFCC99FF"/>
      <rgbColor rgb="FFE2D6D0"/>
      <rgbColor rgb="FF3366FF"/>
      <rgbColor rgb="FF33CCCC"/>
      <rgbColor rgb="FF99CC00"/>
      <rgbColor rgb="FFFFCC00"/>
      <rgbColor rgb="FFC9A54C"/>
      <rgbColor rgb="FFFF6600"/>
      <rgbColor rgb="FF7A7272"/>
      <rgbColor rgb="FF878787"/>
      <rgbColor rgb="FF003366"/>
      <rgbColor rgb="FF339966"/>
      <rgbColor rgb="FF003300"/>
      <rgbColor rgb="FF333300"/>
      <rgbColor rgb="FF8E1F2B"/>
      <rgbColor rgb="FF993366"/>
      <rgbColor rgb="FF2F4F7A"/>
      <rgbColor rgb="FF3A2A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Chiffre d'affaires mensuel (MAD) — mois choisi en doré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DASHBOARD!$L$52</c:f>
              <c:strCache>
                <c:ptCount val="1"/>
                <c:pt idx="0">
                  <c:v>CA autres mois</c:v>
                </c:pt>
              </c:strCache>
            </c:strRef>
          </c:tx>
          <c:spPr>
            <a:solidFill>
              <a:srgbClr val="7A1E2C"/>
            </a:solidFill>
            <a:ln w="0">
              <a:solidFill>
                <a:srgbClr val="7A1E2C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DASHBOARD!$B$53:$B$64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DASHBOARD!$L$53:$L$64</c:f>
              <c:numCache>
                <c:formatCode>#\ ##0;\(#\ ##0\);\-</c:formatCode>
                <c:ptCount val="12"/>
                <c:pt idx="0">
                  <c:v>6460000</c:v>
                </c:pt>
                <c:pt idx="1">
                  <c:v>6862000</c:v>
                </c:pt>
                <c:pt idx="2">
                  <c:v>7530000</c:v>
                </c:pt>
                <c:pt idx="3">
                  <c:v>7139000</c:v>
                </c:pt>
                <c:pt idx="4">
                  <c:v>7506000</c:v>
                </c:pt>
                <c:pt idx="5">
                  <c:v>7804000</c:v>
                </c:pt>
                <c:pt idx="6">
                  <c:v>7378000</c:v>
                </c:pt>
                <c:pt idx="7">
                  <c:v>5968000</c:v>
                </c:pt>
                <c:pt idx="8">
                  <c:v>7347000</c:v>
                </c:pt>
                <c:pt idx="9">
                  <c:v>7894000</c:v>
                </c:pt>
                <c:pt idx="10">
                  <c:v>0</c:v>
                </c:pt>
                <c:pt idx="11">
                  <c:v>8220000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C1-4CA1-88E3-6BD62A953A95}"/>
            </c:ext>
          </c:extLst>
        </c:ser>
        <c:ser>
          <c:idx val="1"/>
          <c:order val="1"/>
          <c:tx>
            <c:strRef>
              <c:f>DASHBOARD!$M$52</c:f>
              <c:strCache>
                <c:ptCount val="1"/>
                <c:pt idx="0">
                  <c:v>CA mois choisi</c:v>
                </c:pt>
              </c:strCache>
            </c:strRef>
          </c:tx>
          <c:spPr>
            <a:solidFill>
              <a:srgbClr val="C9A54C"/>
            </a:solidFill>
            <a:ln w="0">
              <a:solidFill>
                <a:srgbClr val="C9A54C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DASHBOARD!$B$53:$B$64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DASHBOARD!$M$53:$M$64</c:f>
              <c:numCache>
                <c:formatCode>#\ ##0;\(#\ 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7867000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C1-4CA1-88E3-6BD62A953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49895438"/>
        <c:axId val="81749371"/>
      </c:barChart>
      <c:catAx>
        <c:axId val="498954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81749371"/>
        <c:crosses val="autoZero"/>
        <c:auto val="1"/>
        <c:lblAlgn val="ctr"/>
        <c:lblOffset val="100"/>
        <c:noMultiLvlLbl val="0"/>
      </c:catAx>
      <c:valAx>
        <c:axId val="817493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989543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Résultat net mensuel (MAD)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DASHBOARD!$D$52</c:f>
              <c:strCache>
                <c:ptCount val="1"/>
                <c:pt idx="0">
                  <c:v>Résultat net</c:v>
                </c:pt>
              </c:strCache>
            </c:strRef>
          </c:tx>
          <c:spPr>
            <a:ln w="28080">
              <a:solidFill>
                <a:srgbClr val="7A1E2C"/>
              </a:solidFill>
              <a:round/>
            </a:ln>
          </c:spPr>
          <c:marker>
            <c:symbol val="circle"/>
            <c:size val="6"/>
            <c:spPr>
              <a:solidFill>
                <a:srgbClr val="7A1E2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DASHBOARD!$B$53:$B$64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DASHBOARD!$D$53:$D$64</c:f>
              <c:numCache>
                <c:formatCode>#\ ##0;\(#\ ##0\);\-</c:formatCode>
                <c:ptCount val="12"/>
                <c:pt idx="0">
                  <c:v>374800</c:v>
                </c:pt>
                <c:pt idx="1">
                  <c:v>738200</c:v>
                </c:pt>
                <c:pt idx="2">
                  <c:v>794500</c:v>
                </c:pt>
                <c:pt idx="3">
                  <c:v>628300</c:v>
                </c:pt>
                <c:pt idx="4">
                  <c:v>835000</c:v>
                </c:pt>
                <c:pt idx="5">
                  <c:v>536800</c:v>
                </c:pt>
                <c:pt idx="6">
                  <c:v>820200</c:v>
                </c:pt>
                <c:pt idx="7">
                  <c:v>213300</c:v>
                </c:pt>
                <c:pt idx="8">
                  <c:v>680700</c:v>
                </c:pt>
                <c:pt idx="9">
                  <c:v>1067400</c:v>
                </c:pt>
                <c:pt idx="10">
                  <c:v>850000</c:v>
                </c:pt>
                <c:pt idx="11">
                  <c:v>871000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4C-410A-BA81-BB656FFDB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3327596"/>
        <c:axId val="93385418"/>
      </c:lineChart>
      <c:catAx>
        <c:axId val="133275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3385418"/>
        <c:crosses val="autoZero"/>
        <c:auto val="1"/>
        <c:lblAlgn val="ctr"/>
        <c:lblOffset val="100"/>
        <c:noMultiLvlLbl val="0"/>
      </c:catAx>
      <c:valAx>
        <c:axId val="933854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33275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Valeur ajoutée mensuelle (MAD)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DASHBOARD!$E$52</c:f>
              <c:strCache>
                <c:ptCount val="1"/>
                <c:pt idx="0">
                  <c:v>Valeur ajoutée</c:v>
                </c:pt>
              </c:strCache>
            </c:strRef>
          </c:tx>
          <c:spPr>
            <a:solidFill>
              <a:srgbClr val="C9A54C"/>
            </a:solidFill>
            <a:ln w="0">
              <a:solidFill>
                <a:srgbClr val="C9A54C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DASHBOARD!$B$53:$B$64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DASHBOARD!$E$53:$E$64</c:f>
              <c:numCache>
                <c:formatCode>#\ ##0;\(#\ ##0\);\-</c:formatCode>
                <c:ptCount val="12"/>
                <c:pt idx="0">
                  <c:v>2759000</c:v>
                </c:pt>
                <c:pt idx="1">
                  <c:v>3165000</c:v>
                </c:pt>
                <c:pt idx="2">
                  <c:v>3278000</c:v>
                </c:pt>
                <c:pt idx="3">
                  <c:v>3049000</c:v>
                </c:pt>
                <c:pt idx="4">
                  <c:v>3357000</c:v>
                </c:pt>
                <c:pt idx="5">
                  <c:v>3082000</c:v>
                </c:pt>
                <c:pt idx="6">
                  <c:v>3302000</c:v>
                </c:pt>
                <c:pt idx="7">
                  <c:v>2609000</c:v>
                </c:pt>
                <c:pt idx="8">
                  <c:v>3157000</c:v>
                </c:pt>
                <c:pt idx="9">
                  <c:v>3681000</c:v>
                </c:pt>
                <c:pt idx="10">
                  <c:v>3405000</c:v>
                </c:pt>
                <c:pt idx="11">
                  <c:v>3662000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BE-4AB1-A912-882AC6F46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37959704"/>
        <c:axId val="29181593"/>
      </c:barChart>
      <c:catAx>
        <c:axId val="37959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29181593"/>
        <c:crosses val="autoZero"/>
        <c:auto val="1"/>
        <c:lblAlgn val="ctr"/>
        <c:lblOffset val="100"/>
        <c:noMultiLvlLbl val="0"/>
      </c:catAx>
      <c:valAx>
        <c:axId val="291815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379597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Résultat d'exploitation mensuel (MAD)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DASHBOARD!$F$52</c:f>
              <c:strCache>
                <c:ptCount val="1"/>
                <c:pt idx="0">
                  <c:v>REX</c:v>
                </c:pt>
              </c:strCache>
            </c:strRef>
          </c:tx>
          <c:spPr>
            <a:ln w="28080">
              <a:solidFill>
                <a:srgbClr val="C9A54C"/>
              </a:solidFill>
              <a:round/>
            </a:ln>
          </c:spPr>
          <c:marker>
            <c:symbol val="circle"/>
            <c:size val="6"/>
            <c:spPr>
              <a:solidFill>
                <a:srgbClr val="C9A54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DASHBOARD!$B$53:$B$64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DASHBOARD!$F$53:$F$64</c:f>
              <c:numCache>
                <c:formatCode>#\ ##0;\(#\ ##0\);\-</c:formatCode>
                <c:ptCount val="12"/>
                <c:pt idx="0">
                  <c:v>547500</c:v>
                </c:pt>
                <c:pt idx="1">
                  <c:v>946500</c:v>
                </c:pt>
                <c:pt idx="2">
                  <c:v>1051500</c:v>
                </c:pt>
                <c:pt idx="3">
                  <c:v>815500</c:v>
                </c:pt>
                <c:pt idx="4">
                  <c:v>1101500</c:v>
                </c:pt>
                <c:pt idx="5">
                  <c:v>758500</c:v>
                </c:pt>
                <c:pt idx="6">
                  <c:v>1031500</c:v>
                </c:pt>
                <c:pt idx="7">
                  <c:v>330500</c:v>
                </c:pt>
                <c:pt idx="8">
                  <c:v>871500</c:v>
                </c:pt>
                <c:pt idx="9">
                  <c:v>1387500</c:v>
                </c:pt>
                <c:pt idx="10">
                  <c:v>1112500</c:v>
                </c:pt>
                <c:pt idx="11">
                  <c:v>1137500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48-4298-B5ED-6ABEB1AA7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7581422"/>
        <c:axId val="8598822"/>
      </c:lineChart>
      <c:catAx>
        <c:axId val="275814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8598822"/>
        <c:crosses val="autoZero"/>
        <c:auto val="1"/>
        <c:lblAlgn val="ctr"/>
        <c:lblOffset val="100"/>
        <c:noMultiLvlLbl val="0"/>
      </c:catAx>
      <c:valAx>
        <c:axId val="85988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2758142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10</xdr:col>
      <xdr:colOff>446040</xdr:colOff>
      <xdr:row>25</xdr:row>
      <xdr:rowOff>21960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10</xdr:row>
      <xdr:rowOff>0</xdr:rowOff>
    </xdr:from>
    <xdr:to>
      <xdr:col>19</xdr:col>
      <xdr:colOff>1017540</xdr:colOff>
      <xdr:row>25</xdr:row>
      <xdr:rowOff>21960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28</xdr:row>
      <xdr:rowOff>0</xdr:rowOff>
    </xdr:from>
    <xdr:to>
      <xdr:col>10</xdr:col>
      <xdr:colOff>446040</xdr:colOff>
      <xdr:row>43</xdr:row>
      <xdr:rowOff>21960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28</xdr:row>
      <xdr:rowOff>0</xdr:rowOff>
    </xdr:from>
    <xdr:to>
      <xdr:col>19</xdr:col>
      <xdr:colOff>1017540</xdr:colOff>
      <xdr:row>43</xdr:row>
      <xdr:rowOff>21960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A1E2C"/>
    <pageSetUpPr fitToPage="1"/>
  </sheetPr>
  <dimension ref="A1:E39"/>
  <sheetViews>
    <sheetView showGridLines="0" zoomScaleNormal="100" workbookViewId="0"/>
  </sheetViews>
  <sheetFormatPr baseColWidth="10" defaultColWidth="8.7109375" defaultRowHeight="12.75" x14ac:dyDescent="0.2"/>
  <cols>
    <col min="1" max="1" width="3" customWidth="1"/>
    <col min="2" max="2" width="30" customWidth="1"/>
    <col min="3" max="3" width="78" customWidth="1"/>
    <col min="4" max="4" width="22" customWidth="1"/>
    <col min="5" max="5" width="3" customWidth="1"/>
  </cols>
  <sheetData>
    <row r="1" spans="1:5" ht="15" x14ac:dyDescent="0.25">
      <c r="A1" s="13"/>
      <c r="B1" s="13"/>
      <c r="C1" s="13"/>
      <c r="D1" s="13"/>
      <c r="E1" s="13"/>
    </row>
    <row r="2" spans="1:5" ht="33.75" customHeight="1" x14ac:dyDescent="0.25">
      <c r="A2" s="13"/>
      <c r="B2" s="14" t="s">
        <v>0</v>
      </c>
      <c r="C2" s="13"/>
      <c r="D2" s="13"/>
      <c r="E2" s="13"/>
    </row>
    <row r="3" spans="1:5" ht="15" x14ac:dyDescent="0.25">
      <c r="A3" s="15"/>
      <c r="B3" s="16" t="s">
        <v>1</v>
      </c>
      <c r="C3" s="15"/>
      <c r="D3" s="15"/>
      <c r="E3" s="15"/>
    </row>
    <row r="5" spans="1:5" ht="15" x14ac:dyDescent="0.25">
      <c r="B5" s="17" t="s">
        <v>2</v>
      </c>
      <c r="C5" s="18"/>
      <c r="D5" s="18"/>
    </row>
    <row r="6" spans="1:5" x14ac:dyDescent="0.2">
      <c r="B6" s="19" t="s">
        <v>3</v>
      </c>
      <c r="C6" s="20" t="s">
        <v>4</v>
      </c>
    </row>
    <row r="7" spans="1:5" x14ac:dyDescent="0.2">
      <c r="B7" s="19" t="s">
        <v>5</v>
      </c>
      <c r="C7" s="20" t="s">
        <v>6</v>
      </c>
    </row>
    <row r="8" spans="1:5" x14ac:dyDescent="0.2">
      <c r="B8" s="19" t="s">
        <v>7</v>
      </c>
      <c r="C8" s="20" t="s">
        <v>8</v>
      </c>
    </row>
    <row r="9" spans="1:5" x14ac:dyDescent="0.2">
      <c r="B9" s="19" t="s">
        <v>9</v>
      </c>
      <c r="C9" s="20" t="s">
        <v>10</v>
      </c>
    </row>
    <row r="10" spans="1:5" x14ac:dyDescent="0.2">
      <c r="B10" s="19" t="s">
        <v>11</v>
      </c>
      <c r="C10" s="20" t="s">
        <v>12</v>
      </c>
    </row>
    <row r="12" spans="1:5" ht="15" x14ac:dyDescent="0.25">
      <c r="B12" s="17" t="s">
        <v>13</v>
      </c>
      <c r="C12" s="18"/>
      <c r="D12" s="18"/>
    </row>
    <row r="13" spans="1:5" ht="15" x14ac:dyDescent="0.2">
      <c r="B13" s="21" t="s">
        <v>14</v>
      </c>
      <c r="C13" s="22" t="s">
        <v>15</v>
      </c>
    </row>
    <row r="14" spans="1:5" ht="15" x14ac:dyDescent="0.2">
      <c r="B14" s="21" t="s">
        <v>16</v>
      </c>
      <c r="C14" s="22" t="s">
        <v>17</v>
      </c>
    </row>
    <row r="15" spans="1:5" ht="15" x14ac:dyDescent="0.2">
      <c r="B15" s="21" t="s">
        <v>18</v>
      </c>
      <c r="C15" s="22" t="s">
        <v>19</v>
      </c>
    </row>
    <row r="16" spans="1:5" ht="15" x14ac:dyDescent="0.2">
      <c r="B16" s="21" t="s">
        <v>20</v>
      </c>
      <c r="C16" s="22" t="s">
        <v>21</v>
      </c>
    </row>
    <row r="17" spans="2:4" ht="15" x14ac:dyDescent="0.2">
      <c r="B17" s="21" t="s">
        <v>22</v>
      </c>
      <c r="C17" s="22" t="s">
        <v>23</v>
      </c>
    </row>
    <row r="18" spans="2:4" ht="15" x14ac:dyDescent="0.2">
      <c r="B18" s="21" t="s">
        <v>24</v>
      </c>
      <c r="C18" s="22" t="s">
        <v>25</v>
      </c>
    </row>
    <row r="20" spans="2:4" ht="15" x14ac:dyDescent="0.25">
      <c r="B20" s="17" t="s">
        <v>26</v>
      </c>
      <c r="C20" s="18"/>
      <c r="D20" s="18"/>
    </row>
    <row r="21" spans="2:4" x14ac:dyDescent="0.2">
      <c r="B21" s="23" t="s">
        <v>27</v>
      </c>
    </row>
    <row r="22" spans="2:4" x14ac:dyDescent="0.2">
      <c r="B22" s="23" t="s">
        <v>28</v>
      </c>
    </row>
    <row r="23" spans="2:4" x14ac:dyDescent="0.2">
      <c r="B23" s="23" t="s">
        <v>29</v>
      </c>
    </row>
    <row r="24" spans="2:4" x14ac:dyDescent="0.2">
      <c r="B24" s="23" t="s">
        <v>30</v>
      </c>
    </row>
    <row r="25" spans="2:4" x14ac:dyDescent="0.2">
      <c r="B25" s="23" t="s">
        <v>31</v>
      </c>
    </row>
    <row r="26" spans="2:4" x14ac:dyDescent="0.2">
      <c r="B26" s="23" t="s">
        <v>32</v>
      </c>
    </row>
    <row r="27" spans="2:4" x14ac:dyDescent="0.2">
      <c r="B27" s="23" t="s">
        <v>33</v>
      </c>
    </row>
    <row r="29" spans="2:4" ht="15" x14ac:dyDescent="0.25">
      <c r="B29" s="17" t="s">
        <v>34</v>
      </c>
      <c r="C29" s="18"/>
      <c r="D29" s="18"/>
    </row>
    <row r="30" spans="2:4" x14ac:dyDescent="0.2">
      <c r="B30" s="19" t="s">
        <v>35</v>
      </c>
      <c r="C30" s="24" t="str">
        <f>IF(SUMPRODUCT(ABS(Balance!E77:Q77))&lt;1,"✔ OK","✖ Écart à vérifier")</f>
        <v>✔ OK</v>
      </c>
    </row>
    <row r="31" spans="2:4" x14ac:dyDescent="0.2">
      <c r="B31" s="19" t="s">
        <v>36</v>
      </c>
      <c r="C31" s="24" t="str">
        <f>IF(SUMPRODUCT(ABS(CPC!D60:P60))&lt;1,"✔ OK","✖ Écart à vérifier")</f>
        <v>✔ OK</v>
      </c>
    </row>
    <row r="32" spans="2:4" x14ac:dyDescent="0.2">
      <c r="B32" s="19" t="s">
        <v>37</v>
      </c>
      <c r="C32" s="24" t="str">
        <f>IF(SUMPRODUCT(ABS(ESG!D43:P43))&lt;1,"✔ OK","✖ Écart à vérifier")</f>
        <v>✔ OK</v>
      </c>
    </row>
    <row r="34" spans="2:4" ht="15" x14ac:dyDescent="0.25">
      <c r="B34" s="17" t="s">
        <v>38</v>
      </c>
      <c r="C34" s="18"/>
      <c r="D34" s="18"/>
    </row>
    <row r="35" spans="2:4" x14ac:dyDescent="0.2">
      <c r="B35" s="25" t="s">
        <v>39</v>
      </c>
      <c r="C35" s="22" t="s">
        <v>40</v>
      </c>
    </row>
    <row r="36" spans="2:4" x14ac:dyDescent="0.2">
      <c r="B36" s="22" t="s">
        <v>39</v>
      </c>
      <c r="C36" s="22" t="s">
        <v>41</v>
      </c>
    </row>
    <row r="37" spans="2:4" x14ac:dyDescent="0.2">
      <c r="B37" s="26" t="s">
        <v>42</v>
      </c>
      <c r="C37" s="22" t="s">
        <v>43</v>
      </c>
    </row>
    <row r="39" spans="2:4" ht="25.5" customHeight="1" x14ac:dyDescent="0.2">
      <c r="B39" s="12" t="s">
        <v>44</v>
      </c>
      <c r="C39" s="12"/>
      <c r="D39" s="12"/>
    </row>
  </sheetData>
  <mergeCells count="1">
    <mergeCell ref="B39:D39"/>
  </mergeCells>
  <conditionalFormatting sqref="C30:C32">
    <cfRule type="expression" dxfId="22" priority="2">
      <formula>LEFT(C30,1)="✖"</formula>
    </cfRule>
  </conditionalFormatting>
  <hyperlinks>
    <hyperlink ref="B13" location="Balance!A1" display="→ Balance" xr:uid="{00000000-0004-0000-0000-000000000000}"/>
    <hyperlink ref="B14" location="CPC!A1" display="→ CPC" xr:uid="{00000000-0004-0000-0000-000001000000}"/>
    <hyperlink ref="B15" location="ESG!A1" display="→ ESG" xr:uid="{00000000-0004-0000-0000-000002000000}"/>
    <hyperlink ref="B16" location="Reporting!A1" display="→ Reporting" xr:uid="{00000000-0004-0000-0000-000003000000}"/>
    <hyperlink ref="B17" location="DASHBOARD!A1" display="→ DASHBOARD" xr:uid="{00000000-0004-0000-0000-000004000000}"/>
    <hyperlink ref="B18" location="Lecture!A1" display="→ Lecture" xr:uid="{00000000-0004-0000-0000-000005000000}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A54C"/>
    <pageSetUpPr fitToPage="1"/>
  </sheetPr>
  <dimension ref="A1:R81"/>
  <sheetViews>
    <sheetView showGridLines="0" zoomScaleNormal="10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F7" sqref="F7:F10"/>
    </sheetView>
  </sheetViews>
  <sheetFormatPr baseColWidth="10" defaultColWidth="8.7109375" defaultRowHeight="12.75" x14ac:dyDescent="0.2"/>
  <cols>
    <col min="1" max="1" width="9" customWidth="1"/>
    <col min="2" max="2" width="58" customWidth="1"/>
    <col min="3" max="3" width="7" customWidth="1"/>
    <col min="4" max="4" width="6" customWidth="1"/>
    <col min="5" max="17" width="13" customWidth="1"/>
    <col min="18" max="18" width="15" customWidth="1"/>
  </cols>
  <sheetData>
    <row r="1" spans="1:18" ht="30" customHeight="1" x14ac:dyDescent="0.25">
      <c r="A1" s="27" t="s">
        <v>45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28" t="s">
        <v>46</v>
      </c>
    </row>
    <row r="2" spans="1:18" ht="15" x14ac:dyDescent="0.25">
      <c r="A2" s="29" t="s">
        <v>47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x14ac:dyDescent="0.2">
      <c r="A3" s="30" t="s">
        <v>48</v>
      </c>
      <c r="B3" s="31" t="s">
        <v>49</v>
      </c>
    </row>
    <row r="5" spans="1:18" ht="30" customHeight="1" x14ac:dyDescent="0.2">
      <c r="A5" s="32" t="s">
        <v>50</v>
      </c>
      <c r="B5" s="32" t="s">
        <v>51</v>
      </c>
      <c r="C5" s="32" t="s">
        <v>52</v>
      </c>
      <c r="D5" s="32" t="s">
        <v>53</v>
      </c>
      <c r="E5" s="32" t="s">
        <v>54</v>
      </c>
      <c r="F5" s="32" t="s">
        <v>55</v>
      </c>
      <c r="G5" s="32" t="s">
        <v>56</v>
      </c>
      <c r="H5" s="32" t="s">
        <v>57</v>
      </c>
      <c r="I5" s="32" t="s">
        <v>58</v>
      </c>
      <c r="J5" s="32" t="s">
        <v>59</v>
      </c>
      <c r="K5" s="32" t="s">
        <v>60</v>
      </c>
      <c r="L5" s="32" t="s">
        <v>61</v>
      </c>
      <c r="M5" s="32" t="s">
        <v>62</v>
      </c>
      <c r="N5" s="32" t="s">
        <v>63</v>
      </c>
      <c r="O5" s="32" t="s">
        <v>64</v>
      </c>
      <c r="P5" s="32" t="s">
        <v>65</v>
      </c>
      <c r="Q5" s="32" t="s">
        <v>42</v>
      </c>
      <c r="R5" s="32" t="s">
        <v>66</v>
      </c>
    </row>
    <row r="6" spans="1:18" ht="15" x14ac:dyDescent="0.25">
      <c r="A6" s="33"/>
      <c r="B6" s="34" t="s">
        <v>67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</row>
    <row r="7" spans="1:18" x14ac:dyDescent="0.2">
      <c r="A7" s="35" t="s">
        <v>68</v>
      </c>
      <c r="B7" s="22" t="s">
        <v>69</v>
      </c>
      <c r="C7" s="36">
        <f>VALUE(LEFT(A7,1))</f>
        <v>1</v>
      </c>
      <c r="D7" s="35" t="s">
        <v>70</v>
      </c>
      <c r="E7" s="37">
        <v>20000000</v>
      </c>
      <c r="F7" s="37">
        <v>20000000</v>
      </c>
      <c r="G7" s="37">
        <v>20000000</v>
      </c>
      <c r="H7" s="37">
        <v>20000000</v>
      </c>
      <c r="I7" s="37">
        <v>20000000</v>
      </c>
      <c r="J7" s="37">
        <v>20000000</v>
      </c>
      <c r="K7" s="37">
        <v>20000000</v>
      </c>
      <c r="L7" s="37">
        <v>20000000</v>
      </c>
      <c r="M7" s="37">
        <v>20000000</v>
      </c>
      <c r="N7" s="37">
        <v>20000000</v>
      </c>
      <c r="O7" s="37">
        <v>20000000</v>
      </c>
      <c r="P7" s="37">
        <v>20000000</v>
      </c>
      <c r="Q7" s="37">
        <v>20000000</v>
      </c>
      <c r="R7" s="38">
        <f>Q7</f>
        <v>20000000</v>
      </c>
    </row>
    <row r="8" spans="1:18" x14ac:dyDescent="0.2">
      <c r="A8" s="35" t="s">
        <v>71</v>
      </c>
      <c r="B8" s="22" t="s">
        <v>72</v>
      </c>
      <c r="C8" s="36">
        <f>VALUE(LEFT(A8,1))</f>
        <v>1</v>
      </c>
      <c r="D8" s="35" t="s">
        <v>70</v>
      </c>
      <c r="E8" s="37">
        <v>2000000</v>
      </c>
      <c r="F8" s="37">
        <v>2000000</v>
      </c>
      <c r="G8" s="37">
        <v>2000000</v>
      </c>
      <c r="H8" s="37">
        <v>2000000</v>
      </c>
      <c r="I8" s="37">
        <v>2000000</v>
      </c>
      <c r="J8" s="37">
        <v>2000000</v>
      </c>
      <c r="K8" s="37">
        <v>2000000</v>
      </c>
      <c r="L8" s="37">
        <v>2000000</v>
      </c>
      <c r="M8" s="37">
        <v>2000000</v>
      </c>
      <c r="N8" s="37">
        <v>2000000</v>
      </c>
      <c r="O8" s="37">
        <v>2000000</v>
      </c>
      <c r="P8" s="37">
        <v>2000000</v>
      </c>
      <c r="Q8" s="37">
        <v>2000000</v>
      </c>
      <c r="R8" s="38">
        <f>Q8</f>
        <v>2000000</v>
      </c>
    </row>
    <row r="9" spans="1:18" x14ac:dyDescent="0.2">
      <c r="A9" s="35" t="s">
        <v>73</v>
      </c>
      <c r="B9" s="22" t="s">
        <v>74</v>
      </c>
      <c r="C9" s="36">
        <f>VALUE(LEFT(A9,1))</f>
        <v>1</v>
      </c>
      <c r="D9" s="35" t="s">
        <v>70</v>
      </c>
      <c r="E9" s="37">
        <v>10000000</v>
      </c>
      <c r="F9" s="37">
        <v>10000000</v>
      </c>
      <c r="G9" s="37">
        <v>10000000</v>
      </c>
      <c r="H9" s="37">
        <v>10000000</v>
      </c>
      <c r="I9" s="37">
        <v>10000000</v>
      </c>
      <c r="J9" s="37">
        <v>10000000</v>
      </c>
      <c r="K9" s="37">
        <v>10000000</v>
      </c>
      <c r="L9" s="37">
        <v>10000000</v>
      </c>
      <c r="M9" s="37">
        <v>10000000</v>
      </c>
      <c r="N9" s="37">
        <v>10000000</v>
      </c>
      <c r="O9" s="37">
        <v>10000000</v>
      </c>
      <c r="P9" s="37">
        <v>10000000</v>
      </c>
      <c r="Q9" s="37">
        <v>10000000</v>
      </c>
      <c r="R9" s="38">
        <f>Q9</f>
        <v>10000000</v>
      </c>
    </row>
    <row r="10" spans="1:18" x14ac:dyDescent="0.2">
      <c r="A10" s="35" t="s">
        <v>75</v>
      </c>
      <c r="B10" s="22" t="s">
        <v>76</v>
      </c>
      <c r="C10" s="36">
        <f>VALUE(LEFT(A10,1))</f>
        <v>1</v>
      </c>
      <c r="D10" s="35" t="s">
        <v>70</v>
      </c>
      <c r="E10" s="37">
        <v>24000000</v>
      </c>
      <c r="F10" s="37">
        <v>23700000</v>
      </c>
      <c r="G10" s="37">
        <v>23400000</v>
      </c>
      <c r="H10" s="37">
        <v>23100000</v>
      </c>
      <c r="I10" s="37">
        <v>22800000</v>
      </c>
      <c r="J10" s="37">
        <v>22500000</v>
      </c>
      <c r="K10" s="37">
        <v>22200000</v>
      </c>
      <c r="L10" s="37">
        <v>21900000</v>
      </c>
      <c r="M10" s="37">
        <v>21600000</v>
      </c>
      <c r="N10" s="37">
        <v>21300000</v>
      </c>
      <c r="O10" s="37">
        <v>21000000</v>
      </c>
      <c r="P10" s="37">
        <v>20700000</v>
      </c>
      <c r="Q10" s="37">
        <v>20400000</v>
      </c>
      <c r="R10" s="38">
        <f>Q10</f>
        <v>20400000</v>
      </c>
    </row>
    <row r="11" spans="1:18" ht="15" x14ac:dyDescent="0.25">
      <c r="A11" s="33"/>
      <c r="B11" s="34" t="s">
        <v>77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</row>
    <row r="12" spans="1:18" x14ac:dyDescent="0.2">
      <c r="A12" s="35" t="s">
        <v>78</v>
      </c>
      <c r="B12" s="22" t="s">
        <v>79</v>
      </c>
      <c r="C12" s="36">
        <f t="shared" ref="C12:C19" si="0">VALUE(LEFT(A12,1))</f>
        <v>2</v>
      </c>
      <c r="D12" s="35" t="s">
        <v>80</v>
      </c>
      <c r="E12" s="37">
        <v>15000000</v>
      </c>
      <c r="F12" s="37">
        <v>15000000</v>
      </c>
      <c r="G12" s="37">
        <v>15000000</v>
      </c>
      <c r="H12" s="37">
        <v>15000000</v>
      </c>
      <c r="I12" s="37">
        <v>15000000</v>
      </c>
      <c r="J12" s="37">
        <v>15000000</v>
      </c>
      <c r="K12" s="37">
        <v>15000000</v>
      </c>
      <c r="L12" s="37">
        <v>15000000</v>
      </c>
      <c r="M12" s="37">
        <v>15000000</v>
      </c>
      <c r="N12" s="37">
        <v>15000000</v>
      </c>
      <c r="O12" s="37">
        <v>15000000</v>
      </c>
      <c r="P12" s="37">
        <v>15000000</v>
      </c>
      <c r="Q12" s="37">
        <v>15000000</v>
      </c>
      <c r="R12" s="38">
        <f t="shared" ref="R12:R19" si="1">Q12</f>
        <v>15000000</v>
      </c>
    </row>
    <row r="13" spans="1:18" x14ac:dyDescent="0.2">
      <c r="A13" s="35" t="s">
        <v>81</v>
      </c>
      <c r="B13" s="22" t="s">
        <v>82</v>
      </c>
      <c r="C13" s="36">
        <f t="shared" si="0"/>
        <v>2</v>
      </c>
      <c r="D13" s="35" t="s">
        <v>80</v>
      </c>
      <c r="E13" s="37">
        <v>32000000</v>
      </c>
      <c r="F13" s="37">
        <v>32000000</v>
      </c>
      <c r="G13" s="37">
        <v>32000000</v>
      </c>
      <c r="H13" s="37">
        <v>32120000</v>
      </c>
      <c r="I13" s="37">
        <v>33920000</v>
      </c>
      <c r="J13" s="37">
        <v>33920000</v>
      </c>
      <c r="K13" s="37">
        <v>33920000</v>
      </c>
      <c r="L13" s="37">
        <v>33920000</v>
      </c>
      <c r="M13" s="37">
        <v>33920000</v>
      </c>
      <c r="N13" s="37">
        <v>34015000</v>
      </c>
      <c r="O13" s="37">
        <v>34015000</v>
      </c>
      <c r="P13" s="37">
        <v>34015000</v>
      </c>
      <c r="Q13" s="37">
        <v>34015000</v>
      </c>
      <c r="R13" s="38">
        <f t="shared" si="1"/>
        <v>34015000</v>
      </c>
    </row>
    <row r="14" spans="1:18" x14ac:dyDescent="0.2">
      <c r="A14" s="35" t="s">
        <v>83</v>
      </c>
      <c r="B14" s="22" t="s">
        <v>84</v>
      </c>
      <c r="C14" s="36">
        <f t="shared" si="0"/>
        <v>2</v>
      </c>
      <c r="D14" s="35" t="s">
        <v>80</v>
      </c>
      <c r="E14" s="37">
        <v>1600000</v>
      </c>
      <c r="F14" s="37">
        <v>1600000</v>
      </c>
      <c r="G14" s="37">
        <v>1600000</v>
      </c>
      <c r="H14" s="37">
        <v>1600000</v>
      </c>
      <c r="I14" s="37">
        <v>1600000</v>
      </c>
      <c r="J14" s="37">
        <v>1600000</v>
      </c>
      <c r="K14" s="37">
        <v>1600000</v>
      </c>
      <c r="L14" s="37">
        <v>1600000</v>
      </c>
      <c r="M14" s="37">
        <v>1600000</v>
      </c>
      <c r="N14" s="37">
        <v>1600000</v>
      </c>
      <c r="O14" s="37">
        <v>1200000</v>
      </c>
      <c r="P14" s="37">
        <v>1200000</v>
      </c>
      <c r="Q14" s="37">
        <v>1200000</v>
      </c>
      <c r="R14" s="38">
        <f t="shared" si="1"/>
        <v>1200000</v>
      </c>
    </row>
    <row r="15" spans="1:18" x14ac:dyDescent="0.2">
      <c r="A15" s="35" t="s">
        <v>85</v>
      </c>
      <c r="B15" s="22" t="s">
        <v>86</v>
      </c>
      <c r="C15" s="36">
        <f t="shared" si="0"/>
        <v>2</v>
      </c>
      <c r="D15" s="35" t="s">
        <v>80</v>
      </c>
      <c r="E15" s="37">
        <v>1400000</v>
      </c>
      <c r="F15" s="37">
        <v>1400000</v>
      </c>
      <c r="G15" s="37">
        <v>1400000</v>
      </c>
      <c r="H15" s="37">
        <v>1400000</v>
      </c>
      <c r="I15" s="37">
        <v>1400000</v>
      </c>
      <c r="J15" s="37">
        <v>1400000</v>
      </c>
      <c r="K15" s="37">
        <v>1400000</v>
      </c>
      <c r="L15" s="37">
        <v>1400000</v>
      </c>
      <c r="M15" s="37">
        <v>1400000</v>
      </c>
      <c r="N15" s="37">
        <v>1400000</v>
      </c>
      <c r="O15" s="37">
        <v>1400000</v>
      </c>
      <c r="P15" s="37">
        <v>1400000</v>
      </c>
      <c r="Q15" s="37">
        <v>1400000</v>
      </c>
      <c r="R15" s="38">
        <f t="shared" si="1"/>
        <v>1400000</v>
      </c>
    </row>
    <row r="16" spans="1:18" x14ac:dyDescent="0.2">
      <c r="A16" s="35" t="s">
        <v>87</v>
      </c>
      <c r="B16" s="22" t="s">
        <v>88</v>
      </c>
      <c r="C16" s="36">
        <f t="shared" si="0"/>
        <v>2</v>
      </c>
      <c r="D16" s="35" t="s">
        <v>70</v>
      </c>
      <c r="E16" s="37">
        <v>4500000</v>
      </c>
      <c r="F16" s="37">
        <v>4562500</v>
      </c>
      <c r="G16" s="37">
        <v>4625000</v>
      </c>
      <c r="H16" s="37">
        <v>4687500</v>
      </c>
      <c r="I16" s="37">
        <v>4750000</v>
      </c>
      <c r="J16" s="37">
        <v>4812500</v>
      </c>
      <c r="K16" s="37">
        <v>4875000</v>
      </c>
      <c r="L16" s="37">
        <v>4937500</v>
      </c>
      <c r="M16" s="37">
        <v>5000000</v>
      </c>
      <c r="N16" s="37">
        <v>5062500</v>
      </c>
      <c r="O16" s="37">
        <v>5125000</v>
      </c>
      <c r="P16" s="37">
        <v>5187500</v>
      </c>
      <c r="Q16" s="37">
        <v>5250000</v>
      </c>
      <c r="R16" s="38">
        <f t="shared" si="1"/>
        <v>5250000</v>
      </c>
    </row>
    <row r="17" spans="1:18" x14ac:dyDescent="0.2">
      <c r="A17" s="35" t="s">
        <v>89</v>
      </c>
      <c r="B17" s="22" t="s">
        <v>90</v>
      </c>
      <c r="C17" s="36">
        <f t="shared" si="0"/>
        <v>2</v>
      </c>
      <c r="D17" s="35" t="s">
        <v>70</v>
      </c>
      <c r="E17" s="37">
        <v>13000000</v>
      </c>
      <c r="F17" s="37">
        <v>13240000</v>
      </c>
      <c r="G17" s="37">
        <v>13480000</v>
      </c>
      <c r="H17" s="37">
        <v>13720000</v>
      </c>
      <c r="I17" s="37">
        <v>13960000</v>
      </c>
      <c r="J17" s="37">
        <v>14215000</v>
      </c>
      <c r="K17" s="37">
        <v>14470000</v>
      </c>
      <c r="L17" s="37">
        <v>14725000</v>
      </c>
      <c r="M17" s="37">
        <v>14980000</v>
      </c>
      <c r="N17" s="37">
        <v>15235000</v>
      </c>
      <c r="O17" s="37">
        <v>15490000</v>
      </c>
      <c r="P17" s="37">
        <v>15745000</v>
      </c>
      <c r="Q17" s="37">
        <v>16000000</v>
      </c>
      <c r="R17" s="38">
        <f t="shared" si="1"/>
        <v>16000000</v>
      </c>
    </row>
    <row r="18" spans="1:18" x14ac:dyDescent="0.2">
      <c r="A18" s="35" t="s">
        <v>91</v>
      </c>
      <c r="B18" s="22" t="s">
        <v>92</v>
      </c>
      <c r="C18" s="36">
        <f t="shared" si="0"/>
        <v>2</v>
      </c>
      <c r="D18" s="35" t="s">
        <v>70</v>
      </c>
      <c r="E18" s="37">
        <v>800000</v>
      </c>
      <c r="F18" s="37">
        <v>830000</v>
      </c>
      <c r="G18" s="37">
        <v>860000</v>
      </c>
      <c r="H18" s="37">
        <v>890000</v>
      </c>
      <c r="I18" s="37">
        <v>920000</v>
      </c>
      <c r="J18" s="37">
        <v>950000</v>
      </c>
      <c r="K18" s="37">
        <v>980000</v>
      </c>
      <c r="L18" s="37">
        <v>1010000</v>
      </c>
      <c r="M18" s="37">
        <v>1040000</v>
      </c>
      <c r="N18" s="37">
        <v>1070000</v>
      </c>
      <c r="O18" s="37">
        <v>810000</v>
      </c>
      <c r="P18" s="37">
        <v>832000</v>
      </c>
      <c r="Q18" s="37">
        <v>854000</v>
      </c>
      <c r="R18" s="38">
        <f t="shared" si="1"/>
        <v>854000</v>
      </c>
    </row>
    <row r="19" spans="1:18" x14ac:dyDescent="0.2">
      <c r="A19" s="35" t="s">
        <v>93</v>
      </c>
      <c r="B19" s="22" t="s">
        <v>94</v>
      </c>
      <c r="C19" s="36">
        <f t="shared" si="0"/>
        <v>2</v>
      </c>
      <c r="D19" s="35" t="s">
        <v>70</v>
      </c>
      <c r="E19" s="37">
        <v>600000</v>
      </c>
      <c r="F19" s="37">
        <v>650000</v>
      </c>
      <c r="G19" s="37">
        <v>700000</v>
      </c>
      <c r="H19" s="37">
        <v>750000</v>
      </c>
      <c r="I19" s="37">
        <v>800000</v>
      </c>
      <c r="J19" s="37">
        <v>850000</v>
      </c>
      <c r="K19" s="37">
        <v>900000</v>
      </c>
      <c r="L19" s="37">
        <v>950000</v>
      </c>
      <c r="M19" s="37">
        <v>1000000</v>
      </c>
      <c r="N19" s="37">
        <v>1050000</v>
      </c>
      <c r="O19" s="37">
        <v>1100000</v>
      </c>
      <c r="P19" s="37">
        <v>1150000</v>
      </c>
      <c r="Q19" s="37">
        <v>1200000</v>
      </c>
      <c r="R19" s="38">
        <f t="shared" si="1"/>
        <v>1200000</v>
      </c>
    </row>
    <row r="20" spans="1:18" ht="15" x14ac:dyDescent="0.25">
      <c r="A20" s="33"/>
      <c r="B20" s="34" t="s">
        <v>95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</row>
    <row r="21" spans="1:18" x14ac:dyDescent="0.2">
      <c r="A21" s="35" t="s">
        <v>96</v>
      </c>
      <c r="B21" s="22" t="s">
        <v>97</v>
      </c>
      <c r="C21" s="36">
        <f t="shared" ref="C21:C26" si="2">VALUE(LEFT(A21,1))</f>
        <v>3</v>
      </c>
      <c r="D21" s="35" t="s">
        <v>80</v>
      </c>
      <c r="E21" s="37">
        <v>4500000</v>
      </c>
      <c r="F21" s="37">
        <v>4491000</v>
      </c>
      <c r="G21" s="37">
        <v>4366000</v>
      </c>
      <c r="H21" s="37">
        <v>4559000</v>
      </c>
      <c r="I21" s="37">
        <v>4515000</v>
      </c>
      <c r="J21" s="37">
        <v>4677000</v>
      </c>
      <c r="K21" s="37">
        <v>4667000</v>
      </c>
      <c r="L21" s="37">
        <v>4643000</v>
      </c>
      <c r="M21" s="37">
        <v>4598000</v>
      </c>
      <c r="N21" s="37">
        <v>4534000</v>
      </c>
      <c r="O21" s="37">
        <v>4300000</v>
      </c>
      <c r="P21" s="37">
        <v>4489000</v>
      </c>
      <c r="Q21" s="37">
        <v>4685000</v>
      </c>
      <c r="R21" s="38">
        <f t="shared" ref="R21:R26" si="3">Q21</f>
        <v>4685000</v>
      </c>
    </row>
    <row r="22" spans="1:18" x14ac:dyDescent="0.2">
      <c r="A22" s="35" t="s">
        <v>98</v>
      </c>
      <c r="B22" s="22" t="s">
        <v>99</v>
      </c>
      <c r="C22" s="36">
        <f t="shared" si="2"/>
        <v>3</v>
      </c>
      <c r="D22" s="35" t="s">
        <v>80</v>
      </c>
      <c r="E22" s="37">
        <v>9000000</v>
      </c>
      <c r="F22" s="37">
        <v>8891000</v>
      </c>
      <c r="G22" s="37">
        <v>9332000</v>
      </c>
      <c r="H22" s="37">
        <v>8931000</v>
      </c>
      <c r="I22" s="37">
        <v>8879000</v>
      </c>
      <c r="J22" s="37">
        <v>9105000</v>
      </c>
      <c r="K22" s="37">
        <v>9284000</v>
      </c>
      <c r="L22" s="37">
        <v>9366000</v>
      </c>
      <c r="M22" s="37">
        <v>9445000</v>
      </c>
      <c r="N22" s="37">
        <v>9156000</v>
      </c>
      <c r="O22" s="37">
        <v>9625000</v>
      </c>
      <c r="P22" s="37">
        <v>9622000</v>
      </c>
      <c r="Q22" s="37">
        <v>9450000</v>
      </c>
      <c r="R22" s="38">
        <f t="shared" si="3"/>
        <v>9450000</v>
      </c>
    </row>
    <row r="23" spans="1:18" x14ac:dyDescent="0.2">
      <c r="A23" s="35" t="s">
        <v>100</v>
      </c>
      <c r="B23" s="22" t="s">
        <v>101</v>
      </c>
      <c r="C23" s="36">
        <f t="shared" si="2"/>
        <v>3</v>
      </c>
      <c r="D23" s="35" t="s">
        <v>80</v>
      </c>
      <c r="E23" s="37">
        <v>3000000</v>
      </c>
      <c r="F23" s="37">
        <v>3010000</v>
      </c>
      <c r="G23" s="37">
        <v>2916000</v>
      </c>
      <c r="H23" s="37">
        <v>3138000</v>
      </c>
      <c r="I23" s="37">
        <v>3036000</v>
      </c>
      <c r="J23" s="37">
        <v>3116000</v>
      </c>
      <c r="K23" s="37">
        <v>3072000</v>
      </c>
      <c r="L23" s="37">
        <v>3122000</v>
      </c>
      <c r="M23" s="37">
        <v>3106000</v>
      </c>
      <c r="N23" s="37">
        <v>3165000</v>
      </c>
      <c r="O23" s="37">
        <v>3110000</v>
      </c>
      <c r="P23" s="37">
        <v>2992000</v>
      </c>
      <c r="Q23" s="37">
        <v>3228000</v>
      </c>
      <c r="R23" s="38">
        <f t="shared" si="3"/>
        <v>3228000</v>
      </c>
    </row>
    <row r="24" spans="1:18" x14ac:dyDescent="0.2">
      <c r="A24" s="35" t="s">
        <v>102</v>
      </c>
      <c r="B24" s="22" t="s">
        <v>103</v>
      </c>
      <c r="C24" s="36">
        <f t="shared" si="2"/>
        <v>3</v>
      </c>
      <c r="D24" s="35" t="s">
        <v>80</v>
      </c>
      <c r="E24" s="37">
        <v>14233000</v>
      </c>
      <c r="F24" s="37">
        <v>13008000</v>
      </c>
      <c r="G24" s="37">
        <v>14800000</v>
      </c>
      <c r="H24" s="37">
        <v>15364000</v>
      </c>
      <c r="I24" s="37">
        <v>15216000</v>
      </c>
      <c r="J24" s="37">
        <v>14074000</v>
      </c>
      <c r="K24" s="37">
        <v>16587000</v>
      </c>
      <c r="L24" s="37">
        <v>15072000</v>
      </c>
      <c r="M24" s="37">
        <v>11500000</v>
      </c>
      <c r="N24" s="37">
        <v>15610000</v>
      </c>
      <c r="O24" s="37">
        <v>15194000</v>
      </c>
      <c r="P24" s="37">
        <v>16682000</v>
      </c>
      <c r="Q24" s="37">
        <v>15516000</v>
      </c>
      <c r="R24" s="38">
        <f t="shared" si="3"/>
        <v>15516000</v>
      </c>
    </row>
    <row r="25" spans="1:18" x14ac:dyDescent="0.2">
      <c r="A25" s="35" t="s">
        <v>104</v>
      </c>
      <c r="B25" s="22" t="s">
        <v>105</v>
      </c>
      <c r="C25" s="36">
        <f t="shared" si="2"/>
        <v>3</v>
      </c>
      <c r="D25" s="35" t="s">
        <v>80</v>
      </c>
      <c r="E25" s="37">
        <v>300000</v>
      </c>
      <c r="F25" s="37">
        <v>252000</v>
      </c>
      <c r="G25" s="37">
        <v>274000</v>
      </c>
      <c r="H25" s="37">
        <v>307000</v>
      </c>
      <c r="I25" s="37">
        <v>272000</v>
      </c>
      <c r="J25" s="37">
        <v>323000</v>
      </c>
      <c r="K25" s="37">
        <v>339000</v>
      </c>
      <c r="L25" s="37">
        <v>293000</v>
      </c>
      <c r="M25" s="37">
        <v>236000</v>
      </c>
      <c r="N25" s="37">
        <v>279000</v>
      </c>
      <c r="O25" s="37">
        <v>308000</v>
      </c>
      <c r="P25" s="37">
        <v>317000</v>
      </c>
      <c r="Q25" s="37">
        <v>337000</v>
      </c>
      <c r="R25" s="38">
        <f t="shared" si="3"/>
        <v>337000</v>
      </c>
    </row>
    <row r="26" spans="1:18" x14ac:dyDescent="0.2">
      <c r="A26" s="35" t="s">
        <v>106</v>
      </c>
      <c r="B26" s="22" t="s">
        <v>107</v>
      </c>
      <c r="C26" s="36">
        <f t="shared" si="2"/>
        <v>3</v>
      </c>
      <c r="D26" s="35" t="s">
        <v>70</v>
      </c>
      <c r="E26" s="37">
        <v>180000</v>
      </c>
      <c r="F26" s="37">
        <v>180000</v>
      </c>
      <c r="G26" s="37">
        <v>180000</v>
      </c>
      <c r="H26" s="37">
        <v>180000</v>
      </c>
      <c r="I26" s="37">
        <v>180000</v>
      </c>
      <c r="J26" s="37">
        <v>180000</v>
      </c>
      <c r="K26" s="37">
        <v>240000</v>
      </c>
      <c r="L26" s="37">
        <v>240000</v>
      </c>
      <c r="M26" s="37">
        <v>240000</v>
      </c>
      <c r="N26" s="37">
        <v>240000</v>
      </c>
      <c r="O26" s="37">
        <v>240000</v>
      </c>
      <c r="P26" s="37">
        <v>240000</v>
      </c>
      <c r="Q26" s="37">
        <v>285000</v>
      </c>
      <c r="R26" s="38">
        <f t="shared" si="3"/>
        <v>285000</v>
      </c>
    </row>
    <row r="27" spans="1:18" ht="15" x14ac:dyDescent="0.25">
      <c r="A27" s="33"/>
      <c r="B27" s="34" t="s">
        <v>108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</row>
    <row r="28" spans="1:18" x14ac:dyDescent="0.2">
      <c r="A28" s="35" t="s">
        <v>109</v>
      </c>
      <c r="B28" s="22" t="s">
        <v>110</v>
      </c>
      <c r="C28" s="36">
        <f>VALUE(LEFT(A28,1))</f>
        <v>4</v>
      </c>
      <c r="D28" s="35" t="s">
        <v>70</v>
      </c>
      <c r="E28" s="37">
        <v>9680000</v>
      </c>
      <c r="F28" s="37">
        <v>7571000</v>
      </c>
      <c r="G28" s="37">
        <v>8119000</v>
      </c>
      <c r="H28" s="37">
        <v>9137000</v>
      </c>
      <c r="I28" s="37">
        <v>8719000</v>
      </c>
      <c r="J28" s="37">
        <v>9313000</v>
      </c>
      <c r="K28" s="37">
        <v>9788000</v>
      </c>
      <c r="L28" s="37">
        <v>9884000</v>
      </c>
      <c r="M28" s="37">
        <v>7297000</v>
      </c>
      <c r="N28" s="37">
        <v>9104000</v>
      </c>
      <c r="O28" s="37">
        <v>9824000</v>
      </c>
      <c r="P28" s="37">
        <v>9664000</v>
      </c>
      <c r="Q28" s="37">
        <v>10985000</v>
      </c>
      <c r="R28" s="38">
        <f>Q28</f>
        <v>10985000</v>
      </c>
    </row>
    <row r="29" spans="1:18" x14ac:dyDescent="0.2">
      <c r="A29" s="35" t="s">
        <v>111</v>
      </c>
      <c r="B29" s="22" t="s">
        <v>112</v>
      </c>
      <c r="C29" s="36">
        <f>VALUE(LEFT(A29,1))</f>
        <v>4</v>
      </c>
      <c r="D29" s="35" t="s">
        <v>70</v>
      </c>
      <c r="E29" s="37">
        <v>180000</v>
      </c>
      <c r="F29" s="37">
        <v>182000</v>
      </c>
      <c r="G29" s="37">
        <v>183000</v>
      </c>
      <c r="H29" s="37">
        <v>184000</v>
      </c>
      <c r="I29" s="37">
        <v>185000</v>
      </c>
      <c r="J29" s="37">
        <v>185000</v>
      </c>
      <c r="K29" s="37">
        <v>186000</v>
      </c>
      <c r="L29" s="37">
        <v>187000</v>
      </c>
      <c r="M29" s="37">
        <v>188000</v>
      </c>
      <c r="N29" s="37">
        <v>188000</v>
      </c>
      <c r="O29" s="37">
        <v>189000</v>
      </c>
      <c r="P29" s="37">
        <v>190000</v>
      </c>
      <c r="Q29" s="37">
        <v>205000</v>
      </c>
      <c r="R29" s="38">
        <f>Q29</f>
        <v>205000</v>
      </c>
    </row>
    <row r="30" spans="1:18" x14ac:dyDescent="0.2">
      <c r="A30" s="35" t="s">
        <v>113</v>
      </c>
      <c r="B30" s="22" t="s">
        <v>114</v>
      </c>
      <c r="C30" s="36">
        <f>VALUE(LEFT(A30,1))</f>
        <v>4</v>
      </c>
      <c r="D30" s="35" t="s">
        <v>70</v>
      </c>
      <c r="E30" s="37">
        <v>320000</v>
      </c>
      <c r="F30" s="37">
        <v>319000</v>
      </c>
      <c r="G30" s="37">
        <v>320000</v>
      </c>
      <c r="H30" s="37">
        <v>322000</v>
      </c>
      <c r="I30" s="37">
        <v>323000</v>
      </c>
      <c r="J30" s="37">
        <v>324000</v>
      </c>
      <c r="K30" s="37">
        <v>326000</v>
      </c>
      <c r="L30" s="37">
        <v>327000</v>
      </c>
      <c r="M30" s="37">
        <v>328000</v>
      </c>
      <c r="N30" s="37">
        <v>329000</v>
      </c>
      <c r="O30" s="37">
        <v>331000</v>
      </c>
      <c r="P30" s="37">
        <v>332000</v>
      </c>
      <c r="Q30" s="37">
        <v>358000</v>
      </c>
      <c r="R30" s="38">
        <f>Q30</f>
        <v>358000</v>
      </c>
    </row>
    <row r="31" spans="1:18" x14ac:dyDescent="0.2">
      <c r="A31" s="35" t="s">
        <v>115</v>
      </c>
      <c r="B31" s="22" t="s">
        <v>116</v>
      </c>
      <c r="C31" s="36">
        <f>VALUE(LEFT(A31,1))</f>
        <v>4</v>
      </c>
      <c r="D31" s="35" t="s">
        <v>70</v>
      </c>
      <c r="E31" s="37">
        <v>0</v>
      </c>
      <c r="F31" s="37">
        <v>93700</v>
      </c>
      <c r="G31" s="37">
        <v>278300</v>
      </c>
      <c r="H31" s="37">
        <v>0</v>
      </c>
      <c r="I31" s="37">
        <v>157100</v>
      </c>
      <c r="J31" s="37">
        <v>365800</v>
      </c>
      <c r="K31" s="37">
        <v>0</v>
      </c>
      <c r="L31" s="37">
        <v>205100</v>
      </c>
      <c r="M31" s="37">
        <v>258400</v>
      </c>
      <c r="N31" s="37">
        <v>0</v>
      </c>
      <c r="O31" s="37">
        <v>266800</v>
      </c>
      <c r="P31" s="37">
        <v>479300</v>
      </c>
      <c r="Q31" s="37">
        <v>0</v>
      </c>
      <c r="R31" s="38">
        <f>Q31</f>
        <v>0</v>
      </c>
    </row>
    <row r="32" spans="1:18" x14ac:dyDescent="0.2">
      <c r="A32" s="35" t="s">
        <v>117</v>
      </c>
      <c r="B32" s="22" t="s">
        <v>118</v>
      </c>
      <c r="C32" s="36">
        <f>VALUE(LEFT(A32,1))</f>
        <v>4</v>
      </c>
      <c r="D32" s="35" t="s">
        <v>70</v>
      </c>
      <c r="E32" s="37">
        <v>30000</v>
      </c>
      <c r="F32" s="37">
        <v>215000</v>
      </c>
      <c r="G32" s="37">
        <v>229000</v>
      </c>
      <c r="H32" s="37">
        <v>251000</v>
      </c>
      <c r="I32" s="37">
        <v>238000</v>
      </c>
      <c r="J32" s="37">
        <v>250000</v>
      </c>
      <c r="K32" s="37">
        <v>260000</v>
      </c>
      <c r="L32" s="37">
        <v>246000</v>
      </c>
      <c r="M32" s="37">
        <v>199000</v>
      </c>
      <c r="N32" s="37">
        <v>245000</v>
      </c>
      <c r="O32" s="37">
        <v>263000</v>
      </c>
      <c r="P32" s="37">
        <v>262000</v>
      </c>
      <c r="Q32" s="37">
        <v>274000</v>
      </c>
      <c r="R32" s="38">
        <f>Q32</f>
        <v>274000</v>
      </c>
    </row>
    <row r="33" spans="1:18" ht="15" x14ac:dyDescent="0.25">
      <c r="A33" s="33"/>
      <c r="B33" s="34" t="s">
        <v>119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</row>
    <row r="34" spans="1:18" x14ac:dyDescent="0.2">
      <c r="A34" s="35" t="s">
        <v>120</v>
      </c>
      <c r="B34" s="22" t="s">
        <v>121</v>
      </c>
      <c r="C34" s="36">
        <f>VALUE(LEFT(A34,1))</f>
        <v>5</v>
      </c>
      <c r="D34" s="35" t="s">
        <v>80</v>
      </c>
      <c r="E34" s="37">
        <v>4227000</v>
      </c>
      <c r="F34" s="37">
        <v>4236000</v>
      </c>
      <c r="G34" s="37">
        <v>3769300</v>
      </c>
      <c r="H34" s="37">
        <v>4680000</v>
      </c>
      <c r="I34" s="37">
        <v>3699900</v>
      </c>
      <c r="J34" s="37">
        <v>6071100</v>
      </c>
      <c r="K34" s="37">
        <v>4233600</v>
      </c>
      <c r="L34" s="37">
        <v>6893400</v>
      </c>
      <c r="M34" s="37">
        <v>8236500</v>
      </c>
      <c r="N34" s="37">
        <v>6656300</v>
      </c>
      <c r="O34" s="37">
        <v>9146000</v>
      </c>
      <c r="P34" s="37">
        <v>8574000</v>
      </c>
      <c r="Q34" s="37">
        <v>11360200</v>
      </c>
      <c r="R34" s="38">
        <f>Q34</f>
        <v>11360200</v>
      </c>
    </row>
    <row r="35" spans="1:18" x14ac:dyDescent="0.2">
      <c r="A35" s="35" t="s">
        <v>122</v>
      </c>
      <c r="B35" s="22" t="s">
        <v>123</v>
      </c>
      <c r="C35" s="36">
        <f>VALUE(LEFT(A35,1))</f>
        <v>5</v>
      </c>
      <c r="D35" s="35" t="s">
        <v>80</v>
      </c>
      <c r="E35" s="37">
        <v>30000</v>
      </c>
      <c r="F35" s="37">
        <v>30000</v>
      </c>
      <c r="G35" s="37">
        <v>30000</v>
      </c>
      <c r="H35" s="37">
        <v>30000</v>
      </c>
      <c r="I35" s="37">
        <v>30000</v>
      </c>
      <c r="J35" s="37">
        <v>30000</v>
      </c>
      <c r="K35" s="37">
        <v>30000</v>
      </c>
      <c r="L35" s="37">
        <v>30000</v>
      </c>
      <c r="M35" s="37">
        <v>30000</v>
      </c>
      <c r="N35" s="37">
        <v>30000</v>
      </c>
      <c r="O35" s="37">
        <v>30000</v>
      </c>
      <c r="P35" s="37">
        <v>30000</v>
      </c>
      <c r="Q35" s="37">
        <v>30000</v>
      </c>
      <c r="R35" s="38">
        <f>Q35</f>
        <v>30000</v>
      </c>
    </row>
    <row r="36" spans="1:18" ht="15" x14ac:dyDescent="0.25">
      <c r="A36" s="33"/>
      <c r="B36" s="34" t="s">
        <v>124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</row>
    <row r="37" spans="1:18" ht="15" x14ac:dyDescent="0.25">
      <c r="A37" s="35" t="s">
        <v>125</v>
      </c>
      <c r="B37" s="22" t="s">
        <v>126</v>
      </c>
      <c r="C37" s="36">
        <f t="shared" ref="C37:C62" si="4">VALUE(LEFT(A37,1))</f>
        <v>6</v>
      </c>
      <c r="D37" s="35" t="s">
        <v>80</v>
      </c>
      <c r="E37" s="39"/>
      <c r="F37" s="37">
        <v>94000</v>
      </c>
      <c r="G37" s="37">
        <v>100000</v>
      </c>
      <c r="H37" s="37">
        <v>110000</v>
      </c>
      <c r="I37" s="37">
        <v>104000</v>
      </c>
      <c r="J37" s="37">
        <v>109000</v>
      </c>
      <c r="K37" s="37">
        <v>113000</v>
      </c>
      <c r="L37" s="37">
        <v>107000</v>
      </c>
      <c r="M37" s="37">
        <v>87000</v>
      </c>
      <c r="N37" s="37">
        <v>107000</v>
      </c>
      <c r="O37" s="37">
        <v>115000</v>
      </c>
      <c r="P37" s="37">
        <v>114000</v>
      </c>
      <c r="Q37" s="37">
        <v>119000</v>
      </c>
      <c r="R37" s="38">
        <f t="shared" ref="R37:R62" si="5">SUM(F37:Q37)</f>
        <v>1279000</v>
      </c>
    </row>
    <row r="38" spans="1:18" ht="15" x14ac:dyDescent="0.25">
      <c r="A38" s="35" t="s">
        <v>127</v>
      </c>
      <c r="B38" s="22" t="s">
        <v>128</v>
      </c>
      <c r="C38" s="36">
        <f t="shared" si="4"/>
        <v>6</v>
      </c>
      <c r="D38" s="35" t="s">
        <v>80</v>
      </c>
      <c r="E38" s="39"/>
      <c r="F38" s="37">
        <v>2360000</v>
      </c>
      <c r="G38" s="37">
        <v>2563000</v>
      </c>
      <c r="H38" s="37">
        <v>2976000</v>
      </c>
      <c r="I38" s="37">
        <v>2557000</v>
      </c>
      <c r="J38" s="37">
        <v>3075000</v>
      </c>
      <c r="K38" s="37">
        <v>2949000</v>
      </c>
      <c r="L38" s="37">
        <v>2775000</v>
      </c>
      <c r="M38" s="37">
        <v>2202000</v>
      </c>
      <c r="N38" s="37">
        <v>2622000</v>
      </c>
      <c r="O38" s="37">
        <v>2864000</v>
      </c>
      <c r="P38" s="37">
        <v>3074000</v>
      </c>
      <c r="Q38" s="37">
        <v>3283000</v>
      </c>
      <c r="R38" s="38">
        <f t="shared" si="5"/>
        <v>33300000</v>
      </c>
    </row>
    <row r="39" spans="1:18" ht="15" x14ac:dyDescent="0.25">
      <c r="A39" s="35" t="s">
        <v>129</v>
      </c>
      <c r="B39" s="22" t="s">
        <v>130</v>
      </c>
      <c r="C39" s="36">
        <f t="shared" si="4"/>
        <v>6</v>
      </c>
      <c r="D39" s="35" t="s">
        <v>80</v>
      </c>
      <c r="E39" s="39"/>
      <c r="F39" s="37">
        <v>187000</v>
      </c>
      <c r="G39" s="37">
        <v>212000</v>
      </c>
      <c r="H39" s="37">
        <v>220000</v>
      </c>
      <c r="I39" s="37">
        <v>205000</v>
      </c>
      <c r="J39" s="37">
        <v>230000</v>
      </c>
      <c r="K39" s="37">
        <v>234000</v>
      </c>
      <c r="L39" s="37">
        <v>221000</v>
      </c>
      <c r="M39" s="37">
        <v>177000</v>
      </c>
      <c r="N39" s="37">
        <v>212000</v>
      </c>
      <c r="O39" s="37">
        <v>245000</v>
      </c>
      <c r="P39" s="37">
        <v>228000</v>
      </c>
      <c r="Q39" s="37">
        <v>244000</v>
      </c>
      <c r="R39" s="38">
        <f t="shared" si="5"/>
        <v>2615000</v>
      </c>
    </row>
    <row r="40" spans="1:18" ht="15" x14ac:dyDescent="0.25">
      <c r="A40" s="35" t="s">
        <v>131</v>
      </c>
      <c r="B40" s="22" t="s">
        <v>132</v>
      </c>
      <c r="C40" s="36">
        <f t="shared" si="4"/>
        <v>6</v>
      </c>
      <c r="D40" s="35" t="s">
        <v>80</v>
      </c>
      <c r="E40" s="39"/>
      <c r="F40" s="37">
        <v>9000</v>
      </c>
      <c r="G40" s="37">
        <v>125000</v>
      </c>
      <c r="H40" s="37">
        <v>-193000</v>
      </c>
      <c r="I40" s="37">
        <v>44000</v>
      </c>
      <c r="J40" s="37">
        <v>-162000</v>
      </c>
      <c r="K40" s="37">
        <v>10000</v>
      </c>
      <c r="L40" s="37">
        <v>24000</v>
      </c>
      <c r="M40" s="37">
        <v>45000</v>
      </c>
      <c r="N40" s="37">
        <v>64000</v>
      </c>
      <c r="O40" s="37">
        <v>234000</v>
      </c>
      <c r="P40" s="37">
        <v>-189000</v>
      </c>
      <c r="Q40" s="37">
        <v>-196000</v>
      </c>
      <c r="R40" s="38">
        <f t="shared" si="5"/>
        <v>-185000</v>
      </c>
    </row>
    <row r="41" spans="1:18" ht="15" x14ac:dyDescent="0.25">
      <c r="A41" s="35" t="s">
        <v>133</v>
      </c>
      <c r="B41" s="22" t="s">
        <v>134</v>
      </c>
      <c r="C41" s="36">
        <f t="shared" si="4"/>
        <v>6</v>
      </c>
      <c r="D41" s="35" t="s">
        <v>80</v>
      </c>
      <c r="E41" s="39"/>
      <c r="F41" s="37">
        <v>218000</v>
      </c>
      <c r="G41" s="37">
        <v>248000</v>
      </c>
      <c r="H41" s="37">
        <v>256000</v>
      </c>
      <c r="I41" s="37">
        <v>240000</v>
      </c>
      <c r="J41" s="37">
        <v>268000</v>
      </c>
      <c r="K41" s="37">
        <v>273000</v>
      </c>
      <c r="L41" s="37">
        <v>258000</v>
      </c>
      <c r="M41" s="37">
        <v>207000</v>
      </c>
      <c r="N41" s="37">
        <v>247000</v>
      </c>
      <c r="O41" s="37">
        <v>285000</v>
      </c>
      <c r="P41" s="37">
        <v>266000</v>
      </c>
      <c r="Q41" s="37">
        <v>284000</v>
      </c>
      <c r="R41" s="38">
        <f t="shared" si="5"/>
        <v>3050000</v>
      </c>
    </row>
    <row r="42" spans="1:18" ht="15" x14ac:dyDescent="0.25">
      <c r="A42" s="35" t="s">
        <v>135</v>
      </c>
      <c r="B42" s="22" t="s">
        <v>136</v>
      </c>
      <c r="C42" s="36">
        <f t="shared" si="4"/>
        <v>6</v>
      </c>
      <c r="D42" s="35" t="s">
        <v>80</v>
      </c>
      <c r="E42" s="39"/>
      <c r="F42" s="37">
        <v>312000</v>
      </c>
      <c r="G42" s="37">
        <v>354000</v>
      </c>
      <c r="H42" s="37">
        <v>366000</v>
      </c>
      <c r="I42" s="37">
        <v>342000</v>
      </c>
      <c r="J42" s="37">
        <v>383000</v>
      </c>
      <c r="K42" s="37">
        <v>389000</v>
      </c>
      <c r="L42" s="37">
        <v>368000</v>
      </c>
      <c r="M42" s="37">
        <v>296000</v>
      </c>
      <c r="N42" s="37">
        <v>353000</v>
      </c>
      <c r="O42" s="37">
        <v>408000</v>
      </c>
      <c r="P42" s="37">
        <v>380000</v>
      </c>
      <c r="Q42" s="37">
        <v>406000</v>
      </c>
      <c r="R42" s="38">
        <f t="shared" si="5"/>
        <v>4357000</v>
      </c>
    </row>
    <row r="43" spans="1:18" ht="15" x14ac:dyDescent="0.25">
      <c r="A43" s="35" t="s">
        <v>137</v>
      </c>
      <c r="B43" s="22" t="s">
        <v>138</v>
      </c>
      <c r="C43" s="36">
        <f t="shared" si="4"/>
        <v>6</v>
      </c>
      <c r="D43" s="35" t="s">
        <v>80</v>
      </c>
      <c r="E43" s="39"/>
      <c r="F43" s="37">
        <v>85000</v>
      </c>
      <c r="G43" s="37">
        <v>85000</v>
      </c>
      <c r="H43" s="37">
        <v>85000</v>
      </c>
      <c r="I43" s="37">
        <v>85000</v>
      </c>
      <c r="J43" s="37">
        <v>85000</v>
      </c>
      <c r="K43" s="37">
        <v>85000</v>
      </c>
      <c r="L43" s="37">
        <v>85000</v>
      </c>
      <c r="M43" s="37">
        <v>85000</v>
      </c>
      <c r="N43" s="37">
        <v>85000</v>
      </c>
      <c r="O43" s="37">
        <v>85000</v>
      </c>
      <c r="P43" s="37">
        <v>85000</v>
      </c>
      <c r="Q43" s="37">
        <v>85000</v>
      </c>
      <c r="R43" s="38">
        <f t="shared" si="5"/>
        <v>1020000</v>
      </c>
    </row>
    <row r="44" spans="1:18" ht="15" x14ac:dyDescent="0.25">
      <c r="A44" s="35" t="s">
        <v>139</v>
      </c>
      <c r="B44" s="22" t="s">
        <v>140</v>
      </c>
      <c r="C44" s="36">
        <f t="shared" si="4"/>
        <v>6</v>
      </c>
      <c r="D44" s="35" t="s">
        <v>80</v>
      </c>
      <c r="E44" s="39"/>
      <c r="F44" s="37">
        <v>94000</v>
      </c>
      <c r="G44" s="37">
        <v>106000</v>
      </c>
      <c r="H44" s="37">
        <v>110000</v>
      </c>
      <c r="I44" s="37">
        <v>103000</v>
      </c>
      <c r="J44" s="37">
        <v>115000</v>
      </c>
      <c r="K44" s="37">
        <v>537000</v>
      </c>
      <c r="L44" s="37">
        <v>110000</v>
      </c>
      <c r="M44" s="37">
        <v>89000</v>
      </c>
      <c r="N44" s="37">
        <v>106000</v>
      </c>
      <c r="O44" s="37">
        <v>122000</v>
      </c>
      <c r="P44" s="37">
        <v>114000</v>
      </c>
      <c r="Q44" s="37">
        <v>122000</v>
      </c>
      <c r="R44" s="38">
        <f t="shared" si="5"/>
        <v>1728000</v>
      </c>
    </row>
    <row r="45" spans="1:18" ht="15" x14ac:dyDescent="0.25">
      <c r="A45" s="35" t="s">
        <v>141</v>
      </c>
      <c r="B45" s="22" t="s">
        <v>142</v>
      </c>
      <c r="C45" s="36">
        <f t="shared" si="4"/>
        <v>6</v>
      </c>
      <c r="D45" s="35" t="s">
        <v>80</v>
      </c>
      <c r="E45" s="39"/>
      <c r="F45" s="37">
        <v>40000</v>
      </c>
      <c r="G45" s="37">
        <v>40000</v>
      </c>
      <c r="H45" s="37">
        <v>40000</v>
      </c>
      <c r="I45" s="37">
        <v>40000</v>
      </c>
      <c r="J45" s="37">
        <v>40000</v>
      </c>
      <c r="K45" s="37">
        <v>40000</v>
      </c>
      <c r="L45" s="37">
        <v>40000</v>
      </c>
      <c r="M45" s="37">
        <v>40000</v>
      </c>
      <c r="N45" s="37">
        <v>40000</v>
      </c>
      <c r="O45" s="37">
        <v>40000</v>
      </c>
      <c r="P45" s="37">
        <v>40000</v>
      </c>
      <c r="Q45" s="37">
        <v>40000</v>
      </c>
      <c r="R45" s="38">
        <f t="shared" si="5"/>
        <v>480000</v>
      </c>
    </row>
    <row r="46" spans="1:18" ht="15" x14ac:dyDescent="0.25">
      <c r="A46" s="35" t="s">
        <v>143</v>
      </c>
      <c r="B46" s="22" t="s">
        <v>144</v>
      </c>
      <c r="C46" s="36">
        <f t="shared" si="4"/>
        <v>6</v>
      </c>
      <c r="D46" s="35" t="s">
        <v>80</v>
      </c>
      <c r="E46" s="39"/>
      <c r="F46" s="37">
        <v>35000</v>
      </c>
      <c r="G46" s="37">
        <v>35000</v>
      </c>
      <c r="H46" s="37">
        <v>35000</v>
      </c>
      <c r="I46" s="37">
        <v>35000</v>
      </c>
      <c r="J46" s="37">
        <v>125000</v>
      </c>
      <c r="K46" s="37">
        <v>35000</v>
      </c>
      <c r="L46" s="37">
        <v>35000</v>
      </c>
      <c r="M46" s="37">
        <v>35000</v>
      </c>
      <c r="N46" s="37">
        <v>35000</v>
      </c>
      <c r="O46" s="37">
        <v>35000</v>
      </c>
      <c r="P46" s="37">
        <v>35000</v>
      </c>
      <c r="Q46" s="37">
        <v>35000</v>
      </c>
      <c r="R46" s="38">
        <f t="shared" si="5"/>
        <v>510000</v>
      </c>
    </row>
    <row r="47" spans="1:18" ht="15" x14ac:dyDescent="0.25">
      <c r="A47" s="35" t="s">
        <v>145</v>
      </c>
      <c r="B47" s="22" t="s">
        <v>146</v>
      </c>
      <c r="C47" s="36">
        <f t="shared" si="4"/>
        <v>6</v>
      </c>
      <c r="D47" s="35" t="s">
        <v>80</v>
      </c>
      <c r="E47" s="39"/>
      <c r="F47" s="37">
        <v>116000</v>
      </c>
      <c r="G47" s="37">
        <v>124000</v>
      </c>
      <c r="H47" s="37">
        <v>136000</v>
      </c>
      <c r="I47" s="37">
        <v>129000</v>
      </c>
      <c r="J47" s="37">
        <v>135000</v>
      </c>
      <c r="K47" s="37">
        <v>140000</v>
      </c>
      <c r="L47" s="37">
        <v>133000</v>
      </c>
      <c r="M47" s="37">
        <v>107000</v>
      </c>
      <c r="N47" s="37">
        <v>132000</v>
      </c>
      <c r="O47" s="37">
        <v>142000</v>
      </c>
      <c r="P47" s="37">
        <v>142000</v>
      </c>
      <c r="Q47" s="37">
        <v>148000</v>
      </c>
      <c r="R47" s="38">
        <f t="shared" si="5"/>
        <v>1584000</v>
      </c>
    </row>
    <row r="48" spans="1:18" ht="15" x14ac:dyDescent="0.25">
      <c r="A48" s="35" t="s">
        <v>147</v>
      </c>
      <c r="B48" s="22" t="s">
        <v>148</v>
      </c>
      <c r="C48" s="36">
        <f t="shared" si="4"/>
        <v>6</v>
      </c>
      <c r="D48" s="35" t="s">
        <v>80</v>
      </c>
      <c r="E48" s="39"/>
      <c r="F48" s="37">
        <v>25000</v>
      </c>
      <c r="G48" s="37">
        <v>25000</v>
      </c>
      <c r="H48" s="37">
        <v>25000</v>
      </c>
      <c r="I48" s="37">
        <v>25000</v>
      </c>
      <c r="J48" s="37">
        <v>25000</v>
      </c>
      <c r="K48" s="37">
        <v>25000</v>
      </c>
      <c r="L48" s="37">
        <v>25000</v>
      </c>
      <c r="M48" s="37">
        <v>25000</v>
      </c>
      <c r="N48" s="37">
        <v>25000</v>
      </c>
      <c r="O48" s="37">
        <v>25000</v>
      </c>
      <c r="P48" s="37">
        <v>25000</v>
      </c>
      <c r="Q48" s="37">
        <v>25000</v>
      </c>
      <c r="R48" s="38">
        <f t="shared" si="5"/>
        <v>300000</v>
      </c>
    </row>
    <row r="49" spans="1:18" ht="15" x14ac:dyDescent="0.25">
      <c r="A49" s="35" t="s">
        <v>149</v>
      </c>
      <c r="B49" s="22" t="s">
        <v>150</v>
      </c>
      <c r="C49" s="36">
        <f t="shared" si="4"/>
        <v>6</v>
      </c>
      <c r="D49" s="35" t="s">
        <v>80</v>
      </c>
      <c r="E49" s="39"/>
      <c r="F49" s="37">
        <v>12000</v>
      </c>
      <c r="G49" s="37">
        <v>12000</v>
      </c>
      <c r="H49" s="37">
        <v>12000</v>
      </c>
      <c r="I49" s="37">
        <v>12000</v>
      </c>
      <c r="J49" s="37">
        <v>12000</v>
      </c>
      <c r="K49" s="37">
        <v>12000</v>
      </c>
      <c r="L49" s="37">
        <v>12000</v>
      </c>
      <c r="M49" s="37">
        <v>12000</v>
      </c>
      <c r="N49" s="37">
        <v>12000</v>
      </c>
      <c r="O49" s="37">
        <v>12000</v>
      </c>
      <c r="P49" s="37">
        <v>12000</v>
      </c>
      <c r="Q49" s="37">
        <v>12000</v>
      </c>
      <c r="R49" s="38">
        <f t="shared" si="5"/>
        <v>144000</v>
      </c>
    </row>
    <row r="50" spans="1:18" ht="15" x14ac:dyDescent="0.25">
      <c r="A50" s="35" t="s">
        <v>151</v>
      </c>
      <c r="B50" s="22" t="s">
        <v>152</v>
      </c>
      <c r="C50" s="36">
        <f t="shared" si="4"/>
        <v>6</v>
      </c>
      <c r="D50" s="35" t="s">
        <v>80</v>
      </c>
      <c r="E50" s="39"/>
      <c r="F50" s="37">
        <v>15000</v>
      </c>
      <c r="G50" s="37">
        <v>15000</v>
      </c>
      <c r="H50" s="37">
        <v>15000</v>
      </c>
      <c r="I50" s="37">
        <v>15000</v>
      </c>
      <c r="J50" s="37">
        <v>15000</v>
      </c>
      <c r="K50" s="37">
        <v>15000</v>
      </c>
      <c r="L50" s="37">
        <v>15000</v>
      </c>
      <c r="M50" s="37">
        <v>15000</v>
      </c>
      <c r="N50" s="37">
        <v>15000</v>
      </c>
      <c r="O50" s="37">
        <v>15000</v>
      </c>
      <c r="P50" s="37">
        <v>15000</v>
      </c>
      <c r="Q50" s="37">
        <v>15000</v>
      </c>
      <c r="R50" s="38">
        <f t="shared" si="5"/>
        <v>180000</v>
      </c>
    </row>
    <row r="51" spans="1:18" ht="15" x14ac:dyDescent="0.25">
      <c r="A51" s="35" t="s">
        <v>153</v>
      </c>
      <c r="B51" s="22" t="s">
        <v>154</v>
      </c>
      <c r="C51" s="36">
        <f t="shared" si="4"/>
        <v>6</v>
      </c>
      <c r="D51" s="35" t="s">
        <v>80</v>
      </c>
      <c r="E51" s="39"/>
      <c r="F51" s="37">
        <v>25000</v>
      </c>
      <c r="G51" s="37">
        <v>25000</v>
      </c>
      <c r="H51" s="37">
        <v>25000</v>
      </c>
      <c r="I51" s="37">
        <v>25000</v>
      </c>
      <c r="J51" s="37">
        <v>25000</v>
      </c>
      <c r="K51" s="37">
        <v>25000</v>
      </c>
      <c r="L51" s="37">
        <v>25000</v>
      </c>
      <c r="M51" s="37">
        <v>25000</v>
      </c>
      <c r="N51" s="37">
        <v>25000</v>
      </c>
      <c r="O51" s="37">
        <v>25000</v>
      </c>
      <c r="P51" s="37">
        <v>25000</v>
      </c>
      <c r="Q51" s="37">
        <v>25000</v>
      </c>
      <c r="R51" s="38">
        <f t="shared" si="5"/>
        <v>300000</v>
      </c>
    </row>
    <row r="52" spans="1:18" ht="15" x14ac:dyDescent="0.25">
      <c r="A52" s="35" t="s">
        <v>155</v>
      </c>
      <c r="B52" s="22" t="s">
        <v>156</v>
      </c>
      <c r="C52" s="36">
        <f t="shared" si="4"/>
        <v>6</v>
      </c>
      <c r="D52" s="35" t="s">
        <v>80</v>
      </c>
      <c r="E52" s="39"/>
      <c r="F52" s="37">
        <v>1520000</v>
      </c>
      <c r="G52" s="37">
        <v>1526000</v>
      </c>
      <c r="H52" s="37">
        <v>1532000</v>
      </c>
      <c r="I52" s="37">
        <v>1538000</v>
      </c>
      <c r="J52" s="37">
        <v>1544000</v>
      </c>
      <c r="K52" s="37">
        <v>1550000</v>
      </c>
      <c r="L52" s="37">
        <v>1556000</v>
      </c>
      <c r="M52" s="37">
        <v>1563000</v>
      </c>
      <c r="N52" s="37">
        <v>1569000</v>
      </c>
      <c r="O52" s="37">
        <v>1575000</v>
      </c>
      <c r="P52" s="37">
        <v>1581000</v>
      </c>
      <c r="Q52" s="37">
        <v>1707000</v>
      </c>
      <c r="R52" s="38">
        <f t="shared" si="5"/>
        <v>18761000</v>
      </c>
    </row>
    <row r="53" spans="1:18" ht="15" x14ac:dyDescent="0.25">
      <c r="A53" s="35" t="s">
        <v>157</v>
      </c>
      <c r="B53" s="22" t="s">
        <v>158</v>
      </c>
      <c r="C53" s="36">
        <f t="shared" si="4"/>
        <v>6</v>
      </c>
      <c r="D53" s="35" t="s">
        <v>80</v>
      </c>
      <c r="E53" s="39"/>
      <c r="F53" s="37">
        <v>319000</v>
      </c>
      <c r="G53" s="37">
        <v>320000</v>
      </c>
      <c r="H53" s="37">
        <v>322000</v>
      </c>
      <c r="I53" s="37">
        <v>323000</v>
      </c>
      <c r="J53" s="37">
        <v>324000</v>
      </c>
      <c r="K53" s="37">
        <v>326000</v>
      </c>
      <c r="L53" s="37">
        <v>327000</v>
      </c>
      <c r="M53" s="37">
        <v>328000</v>
      </c>
      <c r="N53" s="37">
        <v>329000</v>
      </c>
      <c r="O53" s="37">
        <v>331000</v>
      </c>
      <c r="P53" s="37">
        <v>332000</v>
      </c>
      <c r="Q53" s="37">
        <v>358000</v>
      </c>
      <c r="R53" s="38">
        <f t="shared" si="5"/>
        <v>3939000</v>
      </c>
    </row>
    <row r="54" spans="1:18" ht="15" x14ac:dyDescent="0.25">
      <c r="A54" s="35" t="s">
        <v>159</v>
      </c>
      <c r="B54" s="22" t="s">
        <v>160</v>
      </c>
      <c r="C54" s="36">
        <f t="shared" si="4"/>
        <v>6</v>
      </c>
      <c r="D54" s="35" t="s">
        <v>80</v>
      </c>
      <c r="E54" s="39"/>
      <c r="F54" s="37">
        <v>30000</v>
      </c>
      <c r="G54" s="37">
        <v>30000</v>
      </c>
      <c r="H54" s="37">
        <v>30000</v>
      </c>
      <c r="I54" s="37">
        <v>30000</v>
      </c>
      <c r="J54" s="37">
        <v>30000</v>
      </c>
      <c r="K54" s="37">
        <v>30000</v>
      </c>
      <c r="L54" s="37">
        <v>30000</v>
      </c>
      <c r="M54" s="37">
        <v>30000</v>
      </c>
      <c r="N54" s="37">
        <v>30000</v>
      </c>
      <c r="O54" s="37">
        <v>30000</v>
      </c>
      <c r="P54" s="37">
        <v>30000</v>
      </c>
      <c r="Q54" s="37">
        <v>30000</v>
      </c>
      <c r="R54" s="38">
        <f t="shared" si="5"/>
        <v>360000</v>
      </c>
    </row>
    <row r="55" spans="1:18" ht="15" x14ac:dyDescent="0.25">
      <c r="A55" s="35" t="s">
        <v>161</v>
      </c>
      <c r="B55" s="22" t="s">
        <v>162</v>
      </c>
      <c r="C55" s="36">
        <f t="shared" si="4"/>
        <v>6</v>
      </c>
      <c r="D55" s="35" t="s">
        <v>80</v>
      </c>
      <c r="E55" s="39"/>
      <c r="F55" s="37">
        <v>0</v>
      </c>
      <c r="G55" s="37">
        <v>0</v>
      </c>
      <c r="H55" s="37">
        <v>0</v>
      </c>
      <c r="I55" s="37">
        <v>0</v>
      </c>
      <c r="J55" s="37">
        <v>0</v>
      </c>
      <c r="K55" s="37">
        <v>0</v>
      </c>
      <c r="L55" s="37">
        <v>0</v>
      </c>
      <c r="M55" s="37">
        <v>0</v>
      </c>
      <c r="N55" s="37">
        <v>0</v>
      </c>
      <c r="O55" s="37">
        <v>0</v>
      </c>
      <c r="P55" s="37">
        <v>0</v>
      </c>
      <c r="Q55" s="37">
        <v>35000</v>
      </c>
      <c r="R55" s="38">
        <f t="shared" si="5"/>
        <v>35000</v>
      </c>
    </row>
    <row r="56" spans="1:18" ht="15" x14ac:dyDescent="0.25">
      <c r="A56" s="35" t="s">
        <v>163</v>
      </c>
      <c r="B56" s="22" t="s">
        <v>164</v>
      </c>
      <c r="C56" s="36">
        <f t="shared" si="4"/>
        <v>6</v>
      </c>
      <c r="D56" s="35" t="s">
        <v>80</v>
      </c>
      <c r="E56" s="39"/>
      <c r="F56" s="37">
        <v>382500</v>
      </c>
      <c r="G56" s="37">
        <v>382500</v>
      </c>
      <c r="H56" s="37">
        <v>382500</v>
      </c>
      <c r="I56" s="37">
        <v>382500</v>
      </c>
      <c r="J56" s="37">
        <v>397500</v>
      </c>
      <c r="K56" s="37">
        <v>397500</v>
      </c>
      <c r="L56" s="37">
        <v>397500</v>
      </c>
      <c r="M56" s="37">
        <v>397500</v>
      </c>
      <c r="N56" s="37">
        <v>397500</v>
      </c>
      <c r="O56" s="37">
        <v>397500</v>
      </c>
      <c r="P56" s="37">
        <v>389500</v>
      </c>
      <c r="Q56" s="37">
        <v>389500</v>
      </c>
      <c r="R56" s="38">
        <f t="shared" si="5"/>
        <v>4694000</v>
      </c>
    </row>
    <row r="57" spans="1:18" ht="15" x14ac:dyDescent="0.25">
      <c r="A57" s="35" t="s">
        <v>165</v>
      </c>
      <c r="B57" s="22" t="s">
        <v>166</v>
      </c>
      <c r="C57" s="36">
        <f t="shared" si="4"/>
        <v>6</v>
      </c>
      <c r="D57" s="35" t="s">
        <v>80</v>
      </c>
      <c r="E57" s="39"/>
      <c r="F57" s="37">
        <v>0</v>
      </c>
      <c r="G57" s="37">
        <v>0</v>
      </c>
      <c r="H57" s="37">
        <v>0</v>
      </c>
      <c r="I57" s="37">
        <v>0</v>
      </c>
      <c r="J57" s="37">
        <v>0</v>
      </c>
      <c r="K57" s="37">
        <v>60000</v>
      </c>
      <c r="L57" s="37">
        <v>0</v>
      </c>
      <c r="M57" s="37">
        <v>0</v>
      </c>
      <c r="N57" s="37">
        <v>0</v>
      </c>
      <c r="O57" s="37">
        <v>0</v>
      </c>
      <c r="P57" s="37">
        <v>0</v>
      </c>
      <c r="Q57" s="37">
        <v>80000</v>
      </c>
      <c r="R57" s="38">
        <f t="shared" si="5"/>
        <v>140000</v>
      </c>
    </row>
    <row r="58" spans="1:18" ht="15" x14ac:dyDescent="0.25">
      <c r="A58" s="35" t="s">
        <v>167</v>
      </c>
      <c r="B58" s="22" t="s">
        <v>168</v>
      </c>
      <c r="C58" s="36">
        <f t="shared" si="4"/>
        <v>6</v>
      </c>
      <c r="D58" s="35" t="s">
        <v>80</v>
      </c>
      <c r="E58" s="39"/>
      <c r="F58" s="37">
        <v>104000</v>
      </c>
      <c r="G58" s="37">
        <v>102700</v>
      </c>
      <c r="H58" s="37">
        <v>101400</v>
      </c>
      <c r="I58" s="37">
        <v>100100</v>
      </c>
      <c r="J58" s="37">
        <v>98800</v>
      </c>
      <c r="K58" s="37">
        <v>97500</v>
      </c>
      <c r="L58" s="37">
        <v>96200</v>
      </c>
      <c r="M58" s="37">
        <v>94900</v>
      </c>
      <c r="N58" s="37">
        <v>93600</v>
      </c>
      <c r="O58" s="37">
        <v>92300</v>
      </c>
      <c r="P58" s="37">
        <v>91000</v>
      </c>
      <c r="Q58" s="37">
        <v>89700</v>
      </c>
      <c r="R58" s="38">
        <f t="shared" si="5"/>
        <v>1162200</v>
      </c>
    </row>
    <row r="59" spans="1:18" ht="15" x14ac:dyDescent="0.25">
      <c r="A59" s="35" t="s">
        <v>169</v>
      </c>
      <c r="B59" s="22" t="s">
        <v>170</v>
      </c>
      <c r="C59" s="36">
        <f t="shared" si="4"/>
        <v>6</v>
      </c>
      <c r="D59" s="35" t="s">
        <v>80</v>
      </c>
      <c r="E59" s="39"/>
      <c r="F59" s="37">
        <v>27000</v>
      </c>
      <c r="G59" s="37">
        <v>37000</v>
      </c>
      <c r="H59" s="37">
        <v>52000</v>
      </c>
      <c r="I59" s="37">
        <v>21000</v>
      </c>
      <c r="J59" s="37">
        <v>29000</v>
      </c>
      <c r="K59" s="37">
        <v>61000</v>
      </c>
      <c r="L59" s="37">
        <v>20000</v>
      </c>
      <c r="M59" s="37">
        <v>27000</v>
      </c>
      <c r="N59" s="37">
        <v>30000</v>
      </c>
      <c r="O59" s="37">
        <v>52000</v>
      </c>
      <c r="P59" s="37">
        <v>33000</v>
      </c>
      <c r="Q59" s="37">
        <v>69000</v>
      </c>
      <c r="R59" s="38">
        <f t="shared" si="5"/>
        <v>458000</v>
      </c>
    </row>
    <row r="60" spans="1:18" ht="15" x14ac:dyDescent="0.25">
      <c r="A60" s="35" t="s">
        <v>171</v>
      </c>
      <c r="B60" s="22" t="s">
        <v>172</v>
      </c>
      <c r="C60" s="36">
        <f t="shared" si="4"/>
        <v>6</v>
      </c>
      <c r="D60" s="35" t="s">
        <v>80</v>
      </c>
      <c r="E60" s="39"/>
      <c r="F60" s="37">
        <v>0</v>
      </c>
      <c r="G60" s="37">
        <v>0</v>
      </c>
      <c r="H60" s="37">
        <v>0</v>
      </c>
      <c r="I60" s="37">
        <v>0</v>
      </c>
      <c r="J60" s="37">
        <v>0</v>
      </c>
      <c r="K60" s="37">
        <v>0</v>
      </c>
      <c r="L60" s="37">
        <v>0</v>
      </c>
      <c r="M60" s="37">
        <v>0</v>
      </c>
      <c r="N60" s="37">
        <v>0</v>
      </c>
      <c r="O60" s="37">
        <v>110000</v>
      </c>
      <c r="P60" s="37">
        <v>0</v>
      </c>
      <c r="Q60" s="37">
        <v>0</v>
      </c>
      <c r="R60" s="38">
        <f t="shared" si="5"/>
        <v>110000</v>
      </c>
    </row>
    <row r="61" spans="1:18" ht="15" x14ac:dyDescent="0.25">
      <c r="A61" s="35" t="s">
        <v>173</v>
      </c>
      <c r="B61" s="22" t="s">
        <v>174</v>
      </c>
      <c r="C61" s="36">
        <f t="shared" si="4"/>
        <v>6</v>
      </c>
      <c r="D61" s="35" t="s">
        <v>80</v>
      </c>
      <c r="E61" s="39"/>
      <c r="F61" s="37">
        <v>0</v>
      </c>
      <c r="G61" s="37">
        <v>0</v>
      </c>
      <c r="H61" s="37">
        <v>20000</v>
      </c>
      <c r="I61" s="37">
        <v>0</v>
      </c>
      <c r="J61" s="37">
        <v>0</v>
      </c>
      <c r="K61" s="37">
        <v>0</v>
      </c>
      <c r="L61" s="37">
        <v>0</v>
      </c>
      <c r="M61" s="37">
        <v>0</v>
      </c>
      <c r="N61" s="37">
        <v>0</v>
      </c>
      <c r="O61" s="37">
        <v>0</v>
      </c>
      <c r="P61" s="37">
        <v>0</v>
      </c>
      <c r="Q61" s="37">
        <v>0</v>
      </c>
      <c r="R61" s="38">
        <f t="shared" si="5"/>
        <v>20000</v>
      </c>
    </row>
    <row r="62" spans="1:18" ht="15" x14ac:dyDescent="0.25">
      <c r="A62" s="35" t="s">
        <v>175</v>
      </c>
      <c r="B62" s="22" t="s">
        <v>176</v>
      </c>
      <c r="C62" s="36">
        <f t="shared" si="4"/>
        <v>6</v>
      </c>
      <c r="D62" s="35" t="s">
        <v>80</v>
      </c>
      <c r="E62" s="39"/>
      <c r="F62" s="37">
        <v>93700</v>
      </c>
      <c r="G62" s="37">
        <v>184600</v>
      </c>
      <c r="H62" s="37">
        <v>198600</v>
      </c>
      <c r="I62" s="37">
        <v>157100</v>
      </c>
      <c r="J62" s="37">
        <v>208700</v>
      </c>
      <c r="K62" s="37">
        <v>134200</v>
      </c>
      <c r="L62" s="37">
        <v>205100</v>
      </c>
      <c r="M62" s="37">
        <v>53300</v>
      </c>
      <c r="N62" s="37">
        <v>170200</v>
      </c>
      <c r="O62" s="37">
        <v>266800</v>
      </c>
      <c r="P62" s="37">
        <v>212500</v>
      </c>
      <c r="Q62" s="37">
        <v>217800</v>
      </c>
      <c r="R62" s="38">
        <f t="shared" si="5"/>
        <v>2102600</v>
      </c>
    </row>
    <row r="63" spans="1:18" ht="15" x14ac:dyDescent="0.25">
      <c r="A63" s="33"/>
      <c r="B63" s="34" t="s">
        <v>177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</row>
    <row r="64" spans="1:18" ht="15" x14ac:dyDescent="0.25">
      <c r="A64" s="35" t="s">
        <v>178</v>
      </c>
      <c r="B64" s="22" t="s">
        <v>179</v>
      </c>
      <c r="C64" s="36">
        <f t="shared" ref="C64:C75" si="6">VALUE(LEFT(A64,1))</f>
        <v>7</v>
      </c>
      <c r="D64" s="35" t="s">
        <v>70</v>
      </c>
      <c r="E64" s="39"/>
      <c r="F64" s="37">
        <v>127000</v>
      </c>
      <c r="G64" s="37">
        <v>135000</v>
      </c>
      <c r="H64" s="37">
        <v>148000</v>
      </c>
      <c r="I64" s="37">
        <v>140000</v>
      </c>
      <c r="J64" s="37">
        <v>147000</v>
      </c>
      <c r="K64" s="37">
        <v>153000</v>
      </c>
      <c r="L64" s="37">
        <v>145000</v>
      </c>
      <c r="M64" s="37">
        <v>117000</v>
      </c>
      <c r="N64" s="37">
        <v>144000</v>
      </c>
      <c r="O64" s="37">
        <v>155000</v>
      </c>
      <c r="P64" s="37">
        <v>154000</v>
      </c>
      <c r="Q64" s="37">
        <v>161000</v>
      </c>
      <c r="R64" s="38">
        <f t="shared" ref="R64:R75" si="7">SUM(F64:Q64)</f>
        <v>1726000</v>
      </c>
    </row>
    <row r="65" spans="1:18" ht="15" x14ac:dyDescent="0.25">
      <c r="A65" s="35" t="s">
        <v>180</v>
      </c>
      <c r="B65" s="22" t="s">
        <v>181</v>
      </c>
      <c r="C65" s="36">
        <f t="shared" si="6"/>
        <v>7</v>
      </c>
      <c r="D65" s="35" t="s">
        <v>70</v>
      </c>
      <c r="E65" s="39"/>
      <c r="F65" s="37">
        <v>950000</v>
      </c>
      <c r="G65" s="37">
        <v>1009000</v>
      </c>
      <c r="H65" s="37">
        <v>1107000</v>
      </c>
      <c r="I65" s="37">
        <v>1050000</v>
      </c>
      <c r="J65" s="37">
        <v>1104000</v>
      </c>
      <c r="K65" s="37">
        <v>1148000</v>
      </c>
      <c r="L65" s="37">
        <v>1085000</v>
      </c>
      <c r="M65" s="37">
        <v>878000</v>
      </c>
      <c r="N65" s="37">
        <v>1080000</v>
      </c>
      <c r="O65" s="37">
        <v>1161000</v>
      </c>
      <c r="P65" s="37">
        <v>1157000</v>
      </c>
      <c r="Q65" s="37">
        <v>1209000</v>
      </c>
      <c r="R65" s="38">
        <f t="shared" si="7"/>
        <v>12938000</v>
      </c>
    </row>
    <row r="66" spans="1:18" ht="15" x14ac:dyDescent="0.25">
      <c r="A66" s="35" t="s">
        <v>182</v>
      </c>
      <c r="B66" s="22" t="s">
        <v>183</v>
      </c>
      <c r="C66" s="36">
        <f t="shared" si="6"/>
        <v>7</v>
      </c>
      <c r="D66" s="35" t="s">
        <v>70</v>
      </c>
      <c r="E66" s="39"/>
      <c r="F66" s="37">
        <v>5383000</v>
      </c>
      <c r="G66" s="37">
        <v>5718000</v>
      </c>
      <c r="H66" s="37">
        <v>6275000</v>
      </c>
      <c r="I66" s="37">
        <v>5949000</v>
      </c>
      <c r="J66" s="37">
        <v>6255000</v>
      </c>
      <c r="K66" s="37">
        <v>6503000</v>
      </c>
      <c r="L66" s="37">
        <v>6148000</v>
      </c>
      <c r="M66" s="37">
        <v>4973000</v>
      </c>
      <c r="N66" s="37">
        <v>6123000</v>
      </c>
      <c r="O66" s="37">
        <v>6578000</v>
      </c>
      <c r="P66" s="37">
        <v>6556000</v>
      </c>
      <c r="Q66" s="37">
        <v>6850000</v>
      </c>
      <c r="R66" s="38">
        <f t="shared" si="7"/>
        <v>73311000</v>
      </c>
    </row>
    <row r="67" spans="1:18" ht="15" x14ac:dyDescent="0.25">
      <c r="A67" s="35" t="s">
        <v>184</v>
      </c>
      <c r="B67" s="22" t="s">
        <v>185</v>
      </c>
      <c r="C67" s="36">
        <f t="shared" si="6"/>
        <v>7</v>
      </c>
      <c r="D67" s="35" t="s">
        <v>70</v>
      </c>
      <c r="E67" s="39"/>
      <c r="F67" s="37">
        <v>-109000</v>
      </c>
      <c r="G67" s="37">
        <v>441000</v>
      </c>
      <c r="H67" s="37">
        <v>-401000</v>
      </c>
      <c r="I67" s="37">
        <v>-52000</v>
      </c>
      <c r="J67" s="37">
        <v>226000</v>
      </c>
      <c r="K67" s="37">
        <v>179000</v>
      </c>
      <c r="L67" s="37">
        <v>82000</v>
      </c>
      <c r="M67" s="37">
        <v>79000</v>
      </c>
      <c r="N67" s="37">
        <v>-289000</v>
      </c>
      <c r="O67" s="37">
        <v>469000</v>
      </c>
      <c r="P67" s="37">
        <v>-3000</v>
      </c>
      <c r="Q67" s="37">
        <v>-172000</v>
      </c>
      <c r="R67" s="38">
        <f t="shared" si="7"/>
        <v>450000</v>
      </c>
    </row>
    <row r="68" spans="1:18" ht="15" x14ac:dyDescent="0.25">
      <c r="A68" s="35" t="s">
        <v>186</v>
      </c>
      <c r="B68" s="22" t="s">
        <v>187</v>
      </c>
      <c r="C68" s="36">
        <f t="shared" si="6"/>
        <v>7</v>
      </c>
      <c r="D68" s="35" t="s">
        <v>70</v>
      </c>
      <c r="E68" s="39"/>
      <c r="F68" s="37">
        <v>10000</v>
      </c>
      <c r="G68" s="37">
        <v>-94000</v>
      </c>
      <c r="H68" s="37">
        <v>222000</v>
      </c>
      <c r="I68" s="37">
        <v>-102000</v>
      </c>
      <c r="J68" s="37">
        <v>80000</v>
      </c>
      <c r="K68" s="37">
        <v>-44000</v>
      </c>
      <c r="L68" s="37">
        <v>50000</v>
      </c>
      <c r="M68" s="37">
        <v>-16000</v>
      </c>
      <c r="N68" s="37">
        <v>59000</v>
      </c>
      <c r="O68" s="37">
        <v>-55000</v>
      </c>
      <c r="P68" s="37">
        <v>-118000</v>
      </c>
      <c r="Q68" s="37">
        <v>236000</v>
      </c>
      <c r="R68" s="38">
        <f t="shared" si="7"/>
        <v>228000</v>
      </c>
    </row>
    <row r="69" spans="1:18" ht="15" x14ac:dyDescent="0.25">
      <c r="A69" s="35" t="s">
        <v>188</v>
      </c>
      <c r="B69" s="22" t="s">
        <v>189</v>
      </c>
      <c r="C69" s="36">
        <f t="shared" si="6"/>
        <v>7</v>
      </c>
      <c r="D69" s="35" t="s">
        <v>70</v>
      </c>
      <c r="E69" s="39"/>
      <c r="F69" s="37">
        <v>0</v>
      </c>
      <c r="G69" s="37">
        <v>0</v>
      </c>
      <c r="H69" s="37">
        <v>120000</v>
      </c>
      <c r="I69" s="37">
        <v>0</v>
      </c>
      <c r="J69" s="37">
        <v>0</v>
      </c>
      <c r="K69" s="37">
        <v>0</v>
      </c>
      <c r="L69" s="37">
        <v>0</v>
      </c>
      <c r="M69" s="37">
        <v>0</v>
      </c>
      <c r="N69" s="37">
        <v>95000</v>
      </c>
      <c r="O69" s="37">
        <v>0</v>
      </c>
      <c r="P69" s="37">
        <v>0</v>
      </c>
      <c r="Q69" s="37">
        <v>0</v>
      </c>
      <c r="R69" s="38">
        <f t="shared" si="7"/>
        <v>215000</v>
      </c>
    </row>
    <row r="70" spans="1:18" ht="15" x14ac:dyDescent="0.25">
      <c r="A70" s="35" t="s">
        <v>190</v>
      </c>
      <c r="B70" s="22" t="s">
        <v>191</v>
      </c>
      <c r="C70" s="36">
        <f t="shared" si="6"/>
        <v>7</v>
      </c>
      <c r="D70" s="35" t="s">
        <v>70</v>
      </c>
      <c r="E70" s="39"/>
      <c r="F70" s="37">
        <v>40000</v>
      </c>
      <c r="G70" s="37">
        <v>40000</v>
      </c>
      <c r="H70" s="37">
        <v>40000</v>
      </c>
      <c r="I70" s="37">
        <v>40000</v>
      </c>
      <c r="J70" s="37">
        <v>40000</v>
      </c>
      <c r="K70" s="37">
        <v>40000</v>
      </c>
      <c r="L70" s="37">
        <v>40000</v>
      </c>
      <c r="M70" s="37">
        <v>40000</v>
      </c>
      <c r="N70" s="37">
        <v>40000</v>
      </c>
      <c r="O70" s="37">
        <v>40000</v>
      </c>
      <c r="P70" s="37">
        <v>40000</v>
      </c>
      <c r="Q70" s="37">
        <v>40000</v>
      </c>
      <c r="R70" s="38">
        <f t="shared" si="7"/>
        <v>480000</v>
      </c>
    </row>
    <row r="71" spans="1:18" ht="15" x14ac:dyDescent="0.25">
      <c r="A71" s="35" t="s">
        <v>192</v>
      </c>
      <c r="B71" s="22" t="s">
        <v>193</v>
      </c>
      <c r="C71" s="36">
        <f t="shared" si="6"/>
        <v>7</v>
      </c>
      <c r="D71" s="35" t="s">
        <v>70</v>
      </c>
      <c r="E71" s="39"/>
      <c r="F71" s="37">
        <v>0</v>
      </c>
      <c r="G71" s="37">
        <v>0</v>
      </c>
      <c r="H71" s="37">
        <v>0</v>
      </c>
      <c r="I71" s="37">
        <v>0</v>
      </c>
      <c r="J71" s="37">
        <v>0</v>
      </c>
      <c r="K71" s="37">
        <v>0</v>
      </c>
      <c r="L71" s="37">
        <v>0</v>
      </c>
      <c r="M71" s="37">
        <v>0</v>
      </c>
      <c r="N71" s="37">
        <v>0</v>
      </c>
      <c r="O71" s="37">
        <v>0</v>
      </c>
      <c r="P71" s="37">
        <v>0</v>
      </c>
      <c r="Q71" s="37">
        <v>35000</v>
      </c>
      <c r="R71" s="38">
        <f t="shared" si="7"/>
        <v>35000</v>
      </c>
    </row>
    <row r="72" spans="1:18" ht="15" x14ac:dyDescent="0.25">
      <c r="A72" s="35" t="s">
        <v>194</v>
      </c>
      <c r="B72" s="22" t="s">
        <v>195</v>
      </c>
      <c r="C72" s="36">
        <f t="shared" si="6"/>
        <v>7</v>
      </c>
      <c r="D72" s="35" t="s">
        <v>70</v>
      </c>
      <c r="E72" s="39"/>
      <c r="F72" s="37">
        <v>25000</v>
      </c>
      <c r="G72" s="37">
        <v>25000</v>
      </c>
      <c r="H72" s="37">
        <v>25000</v>
      </c>
      <c r="I72" s="37">
        <v>25000</v>
      </c>
      <c r="J72" s="37">
        <v>25000</v>
      </c>
      <c r="K72" s="37">
        <v>25000</v>
      </c>
      <c r="L72" s="37">
        <v>25000</v>
      </c>
      <c r="M72" s="37">
        <v>25000</v>
      </c>
      <c r="N72" s="37">
        <v>25000</v>
      </c>
      <c r="O72" s="37">
        <v>25000</v>
      </c>
      <c r="P72" s="37">
        <v>25000</v>
      </c>
      <c r="Q72" s="37">
        <v>25000</v>
      </c>
      <c r="R72" s="38">
        <f t="shared" si="7"/>
        <v>300000</v>
      </c>
    </row>
    <row r="73" spans="1:18" ht="15" x14ac:dyDescent="0.25">
      <c r="A73" s="35" t="s">
        <v>196</v>
      </c>
      <c r="B73" s="22" t="s">
        <v>197</v>
      </c>
      <c r="C73" s="36">
        <f t="shared" si="6"/>
        <v>7</v>
      </c>
      <c r="D73" s="35" t="s">
        <v>70</v>
      </c>
      <c r="E73" s="39"/>
      <c r="F73" s="37">
        <v>47000</v>
      </c>
      <c r="G73" s="37">
        <v>111000</v>
      </c>
      <c r="H73" s="37">
        <v>110000</v>
      </c>
      <c r="I73" s="37">
        <v>86000</v>
      </c>
      <c r="J73" s="37">
        <v>65000</v>
      </c>
      <c r="K73" s="37">
        <v>66000</v>
      </c>
      <c r="L73" s="37">
        <v>105000</v>
      </c>
      <c r="M73" s="37">
        <v>53000</v>
      </c>
      <c r="N73" s="37">
        <v>98000</v>
      </c>
      <c r="O73" s="37">
        <v>46000</v>
      </c>
      <c r="P73" s="37">
        <v>69000</v>
      </c>
      <c r="Q73" s="37">
        <v>105000</v>
      </c>
      <c r="R73" s="38">
        <f t="shared" si="7"/>
        <v>961000</v>
      </c>
    </row>
    <row r="74" spans="1:18" ht="15" x14ac:dyDescent="0.25">
      <c r="A74" s="35" t="s">
        <v>198</v>
      </c>
      <c r="B74" s="22" t="s">
        <v>199</v>
      </c>
      <c r="C74" s="36">
        <f t="shared" si="6"/>
        <v>7</v>
      </c>
      <c r="D74" s="35" t="s">
        <v>70</v>
      </c>
      <c r="E74" s="39"/>
      <c r="F74" s="37">
        <v>5000</v>
      </c>
      <c r="G74" s="37">
        <v>5000</v>
      </c>
      <c r="H74" s="37">
        <v>5000</v>
      </c>
      <c r="I74" s="37">
        <v>5000</v>
      </c>
      <c r="J74" s="37">
        <v>5000</v>
      </c>
      <c r="K74" s="37">
        <v>5000</v>
      </c>
      <c r="L74" s="37">
        <v>5000</v>
      </c>
      <c r="M74" s="37">
        <v>5000</v>
      </c>
      <c r="N74" s="37">
        <v>5000</v>
      </c>
      <c r="O74" s="37">
        <v>5000</v>
      </c>
      <c r="P74" s="37">
        <v>5000</v>
      </c>
      <c r="Q74" s="37">
        <v>5000</v>
      </c>
      <c r="R74" s="38">
        <f t="shared" si="7"/>
        <v>60000</v>
      </c>
    </row>
    <row r="75" spans="1:18" ht="15" x14ac:dyDescent="0.25">
      <c r="A75" s="35" t="s">
        <v>200</v>
      </c>
      <c r="B75" s="22" t="s">
        <v>201</v>
      </c>
      <c r="C75" s="36">
        <f t="shared" si="6"/>
        <v>7</v>
      </c>
      <c r="D75" s="35" t="s">
        <v>70</v>
      </c>
      <c r="E75" s="39"/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150000</v>
      </c>
      <c r="P75" s="37">
        <v>0</v>
      </c>
      <c r="Q75" s="37">
        <v>0</v>
      </c>
      <c r="R75" s="38">
        <f t="shared" si="7"/>
        <v>150000</v>
      </c>
    </row>
    <row r="77" spans="1:18" ht="15" x14ac:dyDescent="0.25">
      <c r="A77" s="40"/>
      <c r="B77" s="41" t="s">
        <v>202</v>
      </c>
      <c r="C77" s="40"/>
      <c r="D77" s="40"/>
      <c r="E77" s="42">
        <f>SUMPRODUCT(($D$6:$D$75="D")*($C$6:$C$75&lt;=5)*E$6:E$75)-SUMPRODUCT(($D$6:$D$75="C")*($C$6:$C$75&lt;=5)*E$6:E$75)</f>
        <v>0</v>
      </c>
      <c r="F77" s="42">
        <f>SUMPRODUCT(($D$6:$D$75="D")*($C$6:$C$75&lt;=5)*F$6:F$75)-SUMPRODUCT(($D$6:$D$75="C")*($C$6:$C$75&lt;=5)*F$6:F$75)+SUMPRODUCT(($D$6:$D$75="D")*($C$6:$C$75&gt;=6)*$F$6:F$75)-SUMPRODUCT(($D$6:$D$75="C")*($C$6:$C$75&gt;=6)*$F$6:F$75)</f>
        <v>0</v>
      </c>
      <c r="G77" s="42">
        <f>SUMPRODUCT(($D$6:$D$75="D")*($C$6:$C$75&lt;=5)*G$6:G$75)-SUMPRODUCT(($D$6:$D$75="C")*($C$6:$C$75&lt;=5)*G$6:G$75)+SUMPRODUCT(($D$6:$D$75="D")*($C$6:$C$75&gt;=6)*$F$6:G$75)-SUMPRODUCT(($D$6:$D$75="C")*($C$6:$C$75&gt;=6)*$F$6:G$75)</f>
        <v>0</v>
      </c>
      <c r="H77" s="42">
        <f>SUMPRODUCT(($D$6:$D$75="D")*($C$6:$C$75&lt;=5)*H$6:H$75)-SUMPRODUCT(($D$6:$D$75="C")*($C$6:$C$75&lt;=5)*H$6:H$75)+SUMPRODUCT(($D$6:$D$75="D")*($C$6:$C$75&gt;=6)*$F$6:H$75)-SUMPRODUCT(($D$6:$D$75="C")*($C$6:$C$75&gt;=6)*$F$6:H$75)</f>
        <v>0</v>
      </c>
      <c r="I77" s="42">
        <f>SUMPRODUCT(($D$6:$D$75="D")*($C$6:$C$75&lt;=5)*I$6:I$75)-SUMPRODUCT(($D$6:$D$75="C")*($C$6:$C$75&lt;=5)*I$6:I$75)+SUMPRODUCT(($D$6:$D$75="D")*($C$6:$C$75&gt;=6)*$F$6:I$75)-SUMPRODUCT(($D$6:$D$75="C")*($C$6:$C$75&gt;=6)*$F$6:I$75)</f>
        <v>0</v>
      </c>
      <c r="J77" s="42">
        <f>SUMPRODUCT(($D$6:$D$75="D")*($C$6:$C$75&lt;=5)*J$6:J$75)-SUMPRODUCT(($D$6:$D$75="C")*($C$6:$C$75&lt;=5)*J$6:J$75)+SUMPRODUCT(($D$6:$D$75="D")*($C$6:$C$75&gt;=6)*$F$6:J$75)-SUMPRODUCT(($D$6:$D$75="C")*($C$6:$C$75&gt;=6)*$F$6:J$75)</f>
        <v>0</v>
      </c>
      <c r="K77" s="42">
        <f>SUMPRODUCT(($D$6:$D$75="D")*($C$6:$C$75&lt;=5)*K$6:K$75)-SUMPRODUCT(($D$6:$D$75="C")*($C$6:$C$75&lt;=5)*K$6:K$75)+SUMPRODUCT(($D$6:$D$75="D")*($C$6:$C$75&gt;=6)*$F$6:K$75)-SUMPRODUCT(($D$6:$D$75="C")*($C$6:$C$75&gt;=6)*$F$6:K$75)</f>
        <v>0</v>
      </c>
      <c r="L77" s="42">
        <f>SUMPRODUCT(($D$6:$D$75="D")*($C$6:$C$75&lt;=5)*L$6:L$75)-SUMPRODUCT(($D$6:$D$75="C")*($C$6:$C$75&lt;=5)*L$6:L$75)+SUMPRODUCT(($D$6:$D$75="D")*($C$6:$C$75&gt;=6)*$F$6:L$75)-SUMPRODUCT(($D$6:$D$75="C")*($C$6:$C$75&gt;=6)*$F$6:L$75)</f>
        <v>0</v>
      </c>
      <c r="M77" s="42">
        <f>SUMPRODUCT(($D$6:$D$75="D")*($C$6:$C$75&lt;=5)*M$6:M$75)-SUMPRODUCT(($D$6:$D$75="C")*($C$6:$C$75&lt;=5)*M$6:M$75)+SUMPRODUCT(($D$6:$D$75="D")*($C$6:$C$75&gt;=6)*$F$6:M$75)-SUMPRODUCT(($D$6:$D$75="C")*($C$6:$C$75&gt;=6)*$F$6:M$75)</f>
        <v>0</v>
      </c>
      <c r="N77" s="42">
        <f>SUMPRODUCT(($D$6:$D$75="D")*($C$6:$C$75&lt;=5)*N$6:N$75)-SUMPRODUCT(($D$6:$D$75="C")*($C$6:$C$75&lt;=5)*N$6:N$75)+SUMPRODUCT(($D$6:$D$75="D")*($C$6:$C$75&gt;=6)*$F$6:N$75)-SUMPRODUCT(($D$6:$D$75="C")*($C$6:$C$75&gt;=6)*$F$6:N$75)</f>
        <v>0</v>
      </c>
      <c r="O77" s="42">
        <f>SUMPRODUCT(($D$6:$D$75="D")*($C$6:$C$75&lt;=5)*O$6:O$75)-SUMPRODUCT(($D$6:$D$75="C")*($C$6:$C$75&lt;=5)*O$6:O$75)+SUMPRODUCT(($D$6:$D$75="D")*($C$6:$C$75&gt;=6)*$F$6:O$75)-SUMPRODUCT(($D$6:$D$75="C")*($C$6:$C$75&gt;=6)*$F$6:O$75)</f>
        <v>0</v>
      </c>
      <c r="P77" s="42">
        <f>SUMPRODUCT(($D$6:$D$75="D")*($C$6:$C$75&lt;=5)*P$6:P$75)-SUMPRODUCT(($D$6:$D$75="C")*($C$6:$C$75&lt;=5)*P$6:P$75)+SUMPRODUCT(($D$6:$D$75="D")*($C$6:$C$75&gt;=6)*$F$6:P$75)-SUMPRODUCT(($D$6:$D$75="C")*($C$6:$C$75&gt;=6)*$F$6:P$75)</f>
        <v>0</v>
      </c>
      <c r="Q77" s="42">
        <f>SUMPRODUCT(($D$6:$D$75="D")*($C$6:$C$75&lt;=5)*Q$6:Q$75)-SUMPRODUCT(($D$6:$D$75="C")*($C$6:$C$75&lt;=5)*Q$6:Q$75)+SUMPRODUCT(($D$6:$D$75="D")*($C$6:$C$75&gt;=6)*$F$6:Q$75)-SUMPRODUCT(($D$6:$D$75="C")*($C$6:$C$75&gt;=6)*$F$6:Q$75)</f>
        <v>0</v>
      </c>
      <c r="R77" s="40"/>
    </row>
    <row r="80" spans="1:18" ht="15" x14ac:dyDescent="0.25">
      <c r="A80" s="18"/>
      <c r="B80" s="34" t="s">
        <v>203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</row>
    <row r="81" spans="2:18" x14ac:dyDescent="0.2">
      <c r="B81" s="23" t="s">
        <v>204</v>
      </c>
      <c r="F81" s="43">
        <v>345400</v>
      </c>
      <c r="G81" s="43">
        <v>689100</v>
      </c>
      <c r="H81" s="43">
        <v>731500</v>
      </c>
      <c r="I81" s="43">
        <v>579200</v>
      </c>
      <c r="J81" s="43">
        <v>791900</v>
      </c>
      <c r="K81" s="43">
        <v>494100</v>
      </c>
      <c r="L81" s="43">
        <v>757600</v>
      </c>
      <c r="M81" s="43">
        <v>195300</v>
      </c>
      <c r="N81" s="43">
        <v>625300</v>
      </c>
      <c r="O81" s="43">
        <v>1010900</v>
      </c>
      <c r="P81" s="43">
        <v>806900</v>
      </c>
      <c r="Q81" s="43">
        <v>795800</v>
      </c>
      <c r="R81" s="44">
        <f>SUM(F81:Q81)</f>
        <v>7823000</v>
      </c>
    </row>
  </sheetData>
  <hyperlinks>
    <hyperlink ref="R1" location="Accueil!A1" display="⌂ Accueil" xr:uid="{00000000-0004-0000-0100-000000000000}"/>
  </hyperlinks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9A54C"/>
    <pageSetUpPr fitToPage="1"/>
  </sheetPr>
  <dimension ref="A1:P60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K7" sqref="K7"/>
    </sheetView>
  </sheetViews>
  <sheetFormatPr baseColWidth="10" defaultColWidth="8.7109375" defaultRowHeight="12.75" x14ac:dyDescent="0.2"/>
  <cols>
    <col min="1" max="1" width="6" customWidth="1"/>
    <col min="2" max="2" width="58" customWidth="1"/>
    <col min="3" max="3" width="10" customWidth="1"/>
    <col min="4" max="16" width="16.140625" customWidth="1"/>
  </cols>
  <sheetData>
    <row r="1" spans="1:16" ht="30" customHeight="1" x14ac:dyDescent="0.25">
      <c r="A1" s="27" t="s">
        <v>205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28" t="s">
        <v>46</v>
      </c>
    </row>
    <row r="2" spans="1:16" ht="15" x14ac:dyDescent="0.25">
      <c r="A2" s="29" t="s">
        <v>206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4" spans="1:16" ht="27.75" customHeight="1" x14ac:dyDescent="0.2">
      <c r="A4" s="32" t="s">
        <v>207</v>
      </c>
      <c r="B4" s="32" t="s">
        <v>208</v>
      </c>
      <c r="C4" s="32" t="s">
        <v>209</v>
      </c>
      <c r="D4" s="32" t="s">
        <v>55</v>
      </c>
      <c r="E4" s="32" t="s">
        <v>56</v>
      </c>
      <c r="F4" s="32" t="s">
        <v>57</v>
      </c>
      <c r="G4" s="32" t="s">
        <v>58</v>
      </c>
      <c r="H4" s="32" t="s">
        <v>59</v>
      </c>
      <c r="I4" s="32" t="s">
        <v>60</v>
      </c>
      <c r="J4" s="32" t="s">
        <v>61</v>
      </c>
      <c r="K4" s="32" t="s">
        <v>62</v>
      </c>
      <c r="L4" s="32" t="s">
        <v>63</v>
      </c>
      <c r="M4" s="32" t="s">
        <v>64</v>
      </c>
      <c r="N4" s="32" t="s">
        <v>65</v>
      </c>
      <c r="O4" s="32" t="s">
        <v>42</v>
      </c>
      <c r="P4" s="32" t="s">
        <v>210</v>
      </c>
    </row>
    <row r="5" spans="1:16" ht="15" x14ac:dyDescent="0.25">
      <c r="A5" s="45" t="s">
        <v>211</v>
      </c>
      <c r="B5" s="34" t="s">
        <v>212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1:16" ht="15" x14ac:dyDescent="0.25">
      <c r="A6" s="39"/>
      <c r="B6" s="22" t="s">
        <v>213</v>
      </c>
      <c r="C6" s="46" t="s">
        <v>214</v>
      </c>
      <c r="D6" s="47">
        <f>IFERROR(SUMPRODUCT((LEFT(Balance!$A$6:$A$75,3)="711")*Balance!F$6:F$75),0)</f>
        <v>127000</v>
      </c>
      <c r="E6" s="47">
        <f>IFERROR(SUMPRODUCT((LEFT(Balance!$A$6:$A$75,3)="711")*Balance!G$6:G$75),0)</f>
        <v>135000</v>
      </c>
      <c r="F6" s="47">
        <f>IFERROR(SUMPRODUCT((LEFT(Balance!$A$6:$A$75,3)="711")*Balance!H$6:H$75),0)</f>
        <v>148000</v>
      </c>
      <c r="G6" s="47">
        <f>IFERROR(SUMPRODUCT((LEFT(Balance!$A$6:$A$75,3)="711")*Balance!I$6:I$75),0)</f>
        <v>140000</v>
      </c>
      <c r="H6" s="47">
        <f>IFERROR(SUMPRODUCT((LEFT(Balance!$A$6:$A$75,3)="711")*Balance!J$6:J$75),0)</f>
        <v>147000</v>
      </c>
      <c r="I6" s="47">
        <f>IFERROR(SUMPRODUCT((LEFT(Balance!$A$6:$A$75,3)="711")*Balance!K$6:K$75),0)</f>
        <v>153000</v>
      </c>
      <c r="J6" s="47">
        <f>IFERROR(SUMPRODUCT((LEFT(Balance!$A$6:$A$75,3)="711")*Balance!L$6:L$75),0)</f>
        <v>145000</v>
      </c>
      <c r="K6" s="47">
        <f>IFERROR(SUMPRODUCT((LEFT(Balance!$A$6:$A$75,3)="711")*Balance!M$6:M$75),0)</f>
        <v>117000</v>
      </c>
      <c r="L6" s="47">
        <f>IFERROR(SUMPRODUCT((LEFT(Balance!$A$6:$A$75,3)="711")*Balance!N$6:N$75),0)</f>
        <v>144000</v>
      </c>
      <c r="M6" s="47">
        <f>IFERROR(SUMPRODUCT((LEFT(Balance!$A$6:$A$75,3)="711")*Balance!O$6:O$75),0)</f>
        <v>155000</v>
      </c>
      <c r="N6" s="47">
        <f>IFERROR(SUMPRODUCT((LEFT(Balance!$A$6:$A$75,3)="711")*Balance!P$6:P$75),0)</f>
        <v>154000</v>
      </c>
      <c r="O6" s="47">
        <f>IFERROR(SUMPRODUCT((LEFT(Balance!$A$6:$A$75,3)="711")*Balance!Q$6:Q$75),0)</f>
        <v>161000</v>
      </c>
      <c r="P6" s="38">
        <f t="shared" ref="P6:P14" si="0">SUM(D6:O6)</f>
        <v>1726000</v>
      </c>
    </row>
    <row r="7" spans="1:16" ht="15" x14ac:dyDescent="0.25">
      <c r="A7" s="39"/>
      <c r="B7" s="22" t="s">
        <v>215</v>
      </c>
      <c r="C7" s="46" t="s">
        <v>216</v>
      </c>
      <c r="D7" s="47">
        <f>IFERROR(SUMPRODUCT((LEFT(Balance!$A$6:$A$75,3)="712")*Balance!F$6:F$75),0)</f>
        <v>6333000</v>
      </c>
      <c r="E7" s="47">
        <f>IFERROR(SUMPRODUCT((LEFT(Balance!$A$6:$A$75,3)="712")*Balance!G$6:G$75),0)</f>
        <v>6727000</v>
      </c>
      <c r="F7" s="47">
        <f>IFERROR(SUMPRODUCT((LEFT(Balance!$A$6:$A$75,3)="712")*Balance!H$6:H$75),0)</f>
        <v>7382000</v>
      </c>
      <c r="G7" s="47">
        <f>IFERROR(SUMPRODUCT((LEFT(Balance!$A$6:$A$75,3)="712")*Balance!I$6:I$75),0)</f>
        <v>6999000</v>
      </c>
      <c r="H7" s="47">
        <f>IFERROR(SUMPRODUCT((LEFT(Balance!$A$6:$A$75,3)="712")*Balance!J$6:J$75),0)</f>
        <v>7359000</v>
      </c>
      <c r="I7" s="47">
        <f>IFERROR(SUMPRODUCT((LEFT(Balance!$A$6:$A$75,3)="712")*Balance!K$6:K$75),0)</f>
        <v>7651000</v>
      </c>
      <c r="J7" s="47">
        <f>IFERROR(SUMPRODUCT((LEFT(Balance!$A$6:$A$75,3)="712")*Balance!L$6:L$75),0)</f>
        <v>7233000</v>
      </c>
      <c r="K7" s="47">
        <f>IFERROR(SUMPRODUCT((LEFT(Balance!$A$6:$A$75,3)="712")*Balance!M$6:M$75),0)</f>
        <v>5851000</v>
      </c>
      <c r="L7" s="47">
        <f>IFERROR(SUMPRODUCT((LEFT(Balance!$A$6:$A$75,3)="712")*Balance!N$6:N$75),0)</f>
        <v>7203000</v>
      </c>
      <c r="M7" s="47">
        <f>IFERROR(SUMPRODUCT((LEFT(Balance!$A$6:$A$75,3)="712")*Balance!O$6:O$75),0)</f>
        <v>7739000</v>
      </c>
      <c r="N7" s="47">
        <f>IFERROR(SUMPRODUCT((LEFT(Balance!$A$6:$A$75,3)="712")*Balance!P$6:P$75),0)</f>
        <v>7713000</v>
      </c>
      <c r="O7" s="47">
        <f>IFERROR(SUMPRODUCT((LEFT(Balance!$A$6:$A$75,3)="712")*Balance!Q$6:Q$75),0)</f>
        <v>8059000</v>
      </c>
      <c r="P7" s="38">
        <f t="shared" si="0"/>
        <v>86249000</v>
      </c>
    </row>
    <row r="8" spans="1:16" x14ac:dyDescent="0.2">
      <c r="B8" s="48" t="s">
        <v>217</v>
      </c>
      <c r="D8" s="44">
        <f t="shared" ref="D8:O8" si="1">D6+D7</f>
        <v>6460000</v>
      </c>
      <c r="E8" s="44">
        <f t="shared" si="1"/>
        <v>6862000</v>
      </c>
      <c r="F8" s="44">
        <f t="shared" si="1"/>
        <v>7530000</v>
      </c>
      <c r="G8" s="44">
        <f t="shared" si="1"/>
        <v>7139000</v>
      </c>
      <c r="H8" s="44">
        <f t="shared" si="1"/>
        <v>7506000</v>
      </c>
      <c r="I8" s="44">
        <f t="shared" si="1"/>
        <v>7804000</v>
      </c>
      <c r="J8" s="44">
        <f t="shared" si="1"/>
        <v>7378000</v>
      </c>
      <c r="K8" s="44">
        <f t="shared" si="1"/>
        <v>5968000</v>
      </c>
      <c r="L8" s="44">
        <f t="shared" si="1"/>
        <v>7347000</v>
      </c>
      <c r="M8" s="44">
        <f t="shared" si="1"/>
        <v>7894000</v>
      </c>
      <c r="N8" s="44">
        <f t="shared" si="1"/>
        <v>7867000</v>
      </c>
      <c r="O8" s="44">
        <f t="shared" si="1"/>
        <v>8220000</v>
      </c>
      <c r="P8" s="44">
        <f t="shared" si="0"/>
        <v>87975000</v>
      </c>
    </row>
    <row r="9" spans="1:16" ht="15" x14ac:dyDescent="0.25">
      <c r="A9" s="39"/>
      <c r="B9" s="22" t="s">
        <v>218</v>
      </c>
      <c r="C9" s="46" t="s">
        <v>219</v>
      </c>
      <c r="D9" s="47">
        <f>IFERROR(SUMPRODUCT((LEFT(Balance!$A$6:$A$75,3)="713")*Balance!F$6:F$75),0)</f>
        <v>-99000</v>
      </c>
      <c r="E9" s="47">
        <f>IFERROR(SUMPRODUCT((LEFT(Balance!$A$6:$A$75,3)="713")*Balance!G$6:G$75),0)</f>
        <v>347000</v>
      </c>
      <c r="F9" s="47">
        <f>IFERROR(SUMPRODUCT((LEFT(Balance!$A$6:$A$75,3)="713")*Balance!H$6:H$75),0)</f>
        <v>-179000</v>
      </c>
      <c r="G9" s="47">
        <f>IFERROR(SUMPRODUCT((LEFT(Balance!$A$6:$A$75,3)="713")*Balance!I$6:I$75),0)</f>
        <v>-154000</v>
      </c>
      <c r="H9" s="47">
        <f>IFERROR(SUMPRODUCT((LEFT(Balance!$A$6:$A$75,3)="713")*Balance!J$6:J$75),0)</f>
        <v>306000</v>
      </c>
      <c r="I9" s="47">
        <f>IFERROR(SUMPRODUCT((LEFT(Balance!$A$6:$A$75,3)="713")*Balance!K$6:K$75),0)</f>
        <v>135000</v>
      </c>
      <c r="J9" s="47">
        <f>IFERROR(SUMPRODUCT((LEFT(Balance!$A$6:$A$75,3)="713")*Balance!L$6:L$75),0)</f>
        <v>132000</v>
      </c>
      <c r="K9" s="47">
        <f>IFERROR(SUMPRODUCT((LEFT(Balance!$A$6:$A$75,3)="713")*Balance!M$6:M$75),0)</f>
        <v>63000</v>
      </c>
      <c r="L9" s="47">
        <f>IFERROR(SUMPRODUCT((LEFT(Balance!$A$6:$A$75,3)="713")*Balance!N$6:N$75),0)</f>
        <v>-230000</v>
      </c>
      <c r="M9" s="47">
        <f>IFERROR(SUMPRODUCT((LEFT(Balance!$A$6:$A$75,3)="713")*Balance!O$6:O$75),0)</f>
        <v>414000</v>
      </c>
      <c r="N9" s="47">
        <f>IFERROR(SUMPRODUCT((LEFT(Balance!$A$6:$A$75,3)="713")*Balance!P$6:P$75),0)</f>
        <v>-121000</v>
      </c>
      <c r="O9" s="47">
        <f>IFERROR(SUMPRODUCT((LEFT(Balance!$A$6:$A$75,3)="713")*Balance!Q$6:Q$75),0)</f>
        <v>64000</v>
      </c>
      <c r="P9" s="38">
        <f t="shared" si="0"/>
        <v>678000</v>
      </c>
    </row>
    <row r="10" spans="1:16" ht="15" x14ac:dyDescent="0.25">
      <c r="A10" s="39"/>
      <c r="B10" s="22" t="s">
        <v>220</v>
      </c>
      <c r="C10" s="46" t="s">
        <v>221</v>
      </c>
      <c r="D10" s="47">
        <f>IFERROR(SUMPRODUCT((LEFT(Balance!$A$6:$A$75,3)="714")*Balance!F$6:F$75),0)</f>
        <v>0</v>
      </c>
      <c r="E10" s="47">
        <f>IFERROR(SUMPRODUCT((LEFT(Balance!$A$6:$A$75,3)="714")*Balance!G$6:G$75),0)</f>
        <v>0</v>
      </c>
      <c r="F10" s="47">
        <f>IFERROR(SUMPRODUCT((LEFT(Balance!$A$6:$A$75,3)="714")*Balance!H$6:H$75),0)</f>
        <v>120000</v>
      </c>
      <c r="G10" s="47">
        <f>IFERROR(SUMPRODUCT((LEFT(Balance!$A$6:$A$75,3)="714")*Balance!I$6:I$75),0)</f>
        <v>0</v>
      </c>
      <c r="H10" s="47">
        <f>IFERROR(SUMPRODUCT((LEFT(Balance!$A$6:$A$75,3)="714")*Balance!J$6:J$75),0)</f>
        <v>0</v>
      </c>
      <c r="I10" s="47">
        <f>IFERROR(SUMPRODUCT((LEFT(Balance!$A$6:$A$75,3)="714")*Balance!K$6:K$75),0)</f>
        <v>0</v>
      </c>
      <c r="J10" s="47">
        <f>IFERROR(SUMPRODUCT((LEFT(Balance!$A$6:$A$75,3)="714")*Balance!L$6:L$75),0)</f>
        <v>0</v>
      </c>
      <c r="K10" s="47">
        <f>IFERROR(SUMPRODUCT((LEFT(Balance!$A$6:$A$75,3)="714")*Balance!M$6:M$75),0)</f>
        <v>0</v>
      </c>
      <c r="L10" s="47">
        <f>IFERROR(SUMPRODUCT((LEFT(Balance!$A$6:$A$75,3)="714")*Balance!N$6:N$75),0)</f>
        <v>95000</v>
      </c>
      <c r="M10" s="47">
        <f>IFERROR(SUMPRODUCT((LEFT(Balance!$A$6:$A$75,3)="714")*Balance!O$6:O$75),0)</f>
        <v>0</v>
      </c>
      <c r="N10" s="47">
        <f>IFERROR(SUMPRODUCT((LEFT(Balance!$A$6:$A$75,3)="714")*Balance!P$6:P$75),0)</f>
        <v>0</v>
      </c>
      <c r="O10" s="47">
        <f>IFERROR(SUMPRODUCT((LEFT(Balance!$A$6:$A$75,3)="714")*Balance!Q$6:Q$75),0)</f>
        <v>0</v>
      </c>
      <c r="P10" s="38">
        <f t="shared" si="0"/>
        <v>215000</v>
      </c>
    </row>
    <row r="11" spans="1:16" ht="15" x14ac:dyDescent="0.25">
      <c r="A11" s="39"/>
      <c r="B11" s="22" t="s">
        <v>222</v>
      </c>
      <c r="C11" s="46" t="s">
        <v>223</v>
      </c>
      <c r="D11" s="47">
        <f>IFERROR(SUMPRODUCT((LEFT(Balance!$A$6:$A$75,3)="716")*Balance!F$6:F$75),0)</f>
        <v>40000</v>
      </c>
      <c r="E11" s="47">
        <f>IFERROR(SUMPRODUCT((LEFT(Balance!$A$6:$A$75,3)="716")*Balance!G$6:G$75),0)</f>
        <v>40000</v>
      </c>
      <c r="F11" s="47">
        <f>IFERROR(SUMPRODUCT((LEFT(Balance!$A$6:$A$75,3)="716")*Balance!H$6:H$75),0)</f>
        <v>40000</v>
      </c>
      <c r="G11" s="47">
        <f>IFERROR(SUMPRODUCT((LEFT(Balance!$A$6:$A$75,3)="716")*Balance!I$6:I$75),0)</f>
        <v>40000</v>
      </c>
      <c r="H11" s="47">
        <f>IFERROR(SUMPRODUCT((LEFT(Balance!$A$6:$A$75,3)="716")*Balance!J$6:J$75),0)</f>
        <v>40000</v>
      </c>
      <c r="I11" s="47">
        <f>IFERROR(SUMPRODUCT((LEFT(Balance!$A$6:$A$75,3)="716")*Balance!K$6:K$75),0)</f>
        <v>40000</v>
      </c>
      <c r="J11" s="47">
        <f>IFERROR(SUMPRODUCT((LEFT(Balance!$A$6:$A$75,3)="716")*Balance!L$6:L$75),0)</f>
        <v>40000</v>
      </c>
      <c r="K11" s="47">
        <f>IFERROR(SUMPRODUCT((LEFT(Balance!$A$6:$A$75,3)="716")*Balance!M$6:M$75),0)</f>
        <v>40000</v>
      </c>
      <c r="L11" s="47">
        <f>IFERROR(SUMPRODUCT((LEFT(Balance!$A$6:$A$75,3)="716")*Balance!N$6:N$75),0)</f>
        <v>40000</v>
      </c>
      <c r="M11" s="47">
        <f>IFERROR(SUMPRODUCT((LEFT(Balance!$A$6:$A$75,3)="716")*Balance!O$6:O$75),0)</f>
        <v>40000</v>
      </c>
      <c r="N11" s="47">
        <f>IFERROR(SUMPRODUCT((LEFT(Balance!$A$6:$A$75,3)="716")*Balance!P$6:P$75),0)</f>
        <v>40000</v>
      </c>
      <c r="O11" s="47">
        <f>IFERROR(SUMPRODUCT((LEFT(Balance!$A$6:$A$75,3)="716")*Balance!Q$6:Q$75),0)</f>
        <v>40000</v>
      </c>
      <c r="P11" s="38">
        <f t="shared" si="0"/>
        <v>480000</v>
      </c>
    </row>
    <row r="12" spans="1:16" ht="15" x14ac:dyDescent="0.25">
      <c r="A12" s="39"/>
      <c r="B12" s="22" t="s">
        <v>224</v>
      </c>
      <c r="C12" s="46" t="s">
        <v>225</v>
      </c>
      <c r="D12" s="47">
        <f>IFERROR(SUMPRODUCT((LEFT(Balance!$A$6:$A$75,3)="718")*Balance!F$6:F$75),0)</f>
        <v>0</v>
      </c>
      <c r="E12" s="47">
        <f>IFERROR(SUMPRODUCT((LEFT(Balance!$A$6:$A$75,3)="718")*Balance!G$6:G$75),0)</f>
        <v>0</v>
      </c>
      <c r="F12" s="47">
        <f>IFERROR(SUMPRODUCT((LEFT(Balance!$A$6:$A$75,3)="718")*Balance!H$6:H$75),0)</f>
        <v>0</v>
      </c>
      <c r="G12" s="47">
        <f>IFERROR(SUMPRODUCT((LEFT(Balance!$A$6:$A$75,3)="718")*Balance!I$6:I$75),0)</f>
        <v>0</v>
      </c>
      <c r="H12" s="47">
        <f>IFERROR(SUMPRODUCT((LEFT(Balance!$A$6:$A$75,3)="718")*Balance!J$6:J$75),0)</f>
        <v>0</v>
      </c>
      <c r="I12" s="47">
        <f>IFERROR(SUMPRODUCT((LEFT(Balance!$A$6:$A$75,3)="718")*Balance!K$6:K$75),0)</f>
        <v>0</v>
      </c>
      <c r="J12" s="47">
        <f>IFERROR(SUMPRODUCT((LEFT(Balance!$A$6:$A$75,3)="718")*Balance!L$6:L$75),0)</f>
        <v>0</v>
      </c>
      <c r="K12" s="47">
        <f>IFERROR(SUMPRODUCT((LEFT(Balance!$A$6:$A$75,3)="718")*Balance!M$6:M$75),0)</f>
        <v>0</v>
      </c>
      <c r="L12" s="47">
        <f>IFERROR(SUMPRODUCT((LEFT(Balance!$A$6:$A$75,3)="718")*Balance!N$6:N$75),0)</f>
        <v>0</v>
      </c>
      <c r="M12" s="47">
        <f>IFERROR(SUMPRODUCT((LEFT(Balance!$A$6:$A$75,3)="718")*Balance!O$6:O$75),0)</f>
        <v>0</v>
      </c>
      <c r="N12" s="47">
        <f>IFERROR(SUMPRODUCT((LEFT(Balance!$A$6:$A$75,3)="718")*Balance!P$6:P$75),0)</f>
        <v>0</v>
      </c>
      <c r="O12" s="47">
        <f>IFERROR(SUMPRODUCT((LEFT(Balance!$A$6:$A$75,3)="718")*Balance!Q$6:Q$75),0)</f>
        <v>0</v>
      </c>
      <c r="P12" s="38">
        <f t="shared" si="0"/>
        <v>0</v>
      </c>
    </row>
    <row r="13" spans="1:16" ht="15" x14ac:dyDescent="0.25">
      <c r="A13" s="39"/>
      <c r="B13" s="22" t="s">
        <v>226</v>
      </c>
      <c r="C13" s="46" t="s">
        <v>227</v>
      </c>
      <c r="D13" s="47">
        <f>IFERROR(SUMPRODUCT((LEFT(Balance!$A$6:$A$75,3)="719")*Balance!F$6:F$75),0)</f>
        <v>25000</v>
      </c>
      <c r="E13" s="47">
        <f>IFERROR(SUMPRODUCT((LEFT(Balance!$A$6:$A$75,3)="719")*Balance!G$6:G$75),0)</f>
        <v>25000</v>
      </c>
      <c r="F13" s="47">
        <f>IFERROR(SUMPRODUCT((LEFT(Balance!$A$6:$A$75,3)="719")*Balance!H$6:H$75),0)</f>
        <v>25000</v>
      </c>
      <c r="G13" s="47">
        <f>IFERROR(SUMPRODUCT((LEFT(Balance!$A$6:$A$75,3)="719")*Balance!I$6:I$75),0)</f>
        <v>25000</v>
      </c>
      <c r="H13" s="47">
        <f>IFERROR(SUMPRODUCT((LEFT(Balance!$A$6:$A$75,3)="719")*Balance!J$6:J$75),0)</f>
        <v>25000</v>
      </c>
      <c r="I13" s="47">
        <f>IFERROR(SUMPRODUCT((LEFT(Balance!$A$6:$A$75,3)="719")*Balance!K$6:K$75),0)</f>
        <v>25000</v>
      </c>
      <c r="J13" s="47">
        <f>IFERROR(SUMPRODUCT((LEFT(Balance!$A$6:$A$75,3)="719")*Balance!L$6:L$75),0)</f>
        <v>25000</v>
      </c>
      <c r="K13" s="47">
        <f>IFERROR(SUMPRODUCT((LEFT(Balance!$A$6:$A$75,3)="719")*Balance!M$6:M$75),0)</f>
        <v>25000</v>
      </c>
      <c r="L13" s="47">
        <f>IFERROR(SUMPRODUCT((LEFT(Balance!$A$6:$A$75,3)="719")*Balance!N$6:N$75),0)</f>
        <v>25000</v>
      </c>
      <c r="M13" s="47">
        <f>IFERROR(SUMPRODUCT((LEFT(Balance!$A$6:$A$75,3)="719")*Balance!O$6:O$75),0)</f>
        <v>25000</v>
      </c>
      <c r="N13" s="47">
        <f>IFERROR(SUMPRODUCT((LEFT(Balance!$A$6:$A$75,3)="719")*Balance!P$6:P$75),0)</f>
        <v>25000</v>
      </c>
      <c r="O13" s="47">
        <f>IFERROR(SUMPRODUCT((LEFT(Balance!$A$6:$A$75,3)="719")*Balance!Q$6:Q$75),0)</f>
        <v>60000</v>
      </c>
      <c r="P13" s="38">
        <f t="shared" si="0"/>
        <v>335000</v>
      </c>
    </row>
    <row r="14" spans="1:16" ht="15" x14ac:dyDescent="0.25">
      <c r="A14" s="40"/>
      <c r="B14" s="49" t="s">
        <v>228</v>
      </c>
      <c r="C14" s="40"/>
      <c r="D14" s="42">
        <f t="shared" ref="D14:O14" si="2">D8+D9+D10+D11+D12+D13</f>
        <v>6426000</v>
      </c>
      <c r="E14" s="42">
        <f t="shared" si="2"/>
        <v>7274000</v>
      </c>
      <c r="F14" s="42">
        <f t="shared" si="2"/>
        <v>7536000</v>
      </c>
      <c r="G14" s="42">
        <f t="shared" si="2"/>
        <v>7050000</v>
      </c>
      <c r="H14" s="42">
        <f t="shared" si="2"/>
        <v>7877000</v>
      </c>
      <c r="I14" s="42">
        <f t="shared" si="2"/>
        <v>8004000</v>
      </c>
      <c r="J14" s="42">
        <f t="shared" si="2"/>
        <v>7575000</v>
      </c>
      <c r="K14" s="42">
        <f t="shared" si="2"/>
        <v>6096000</v>
      </c>
      <c r="L14" s="42">
        <f t="shared" si="2"/>
        <v>7277000</v>
      </c>
      <c r="M14" s="42">
        <f t="shared" si="2"/>
        <v>8373000</v>
      </c>
      <c r="N14" s="42">
        <f t="shared" si="2"/>
        <v>7811000</v>
      </c>
      <c r="O14" s="42">
        <f t="shared" si="2"/>
        <v>8384000</v>
      </c>
      <c r="P14" s="42">
        <f t="shared" si="0"/>
        <v>89683000</v>
      </c>
    </row>
    <row r="15" spans="1:16" ht="15" x14ac:dyDescent="0.25">
      <c r="A15" s="45" t="s">
        <v>229</v>
      </c>
      <c r="B15" s="34" t="s">
        <v>230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</row>
    <row r="16" spans="1:16" ht="15" x14ac:dyDescent="0.25">
      <c r="A16" s="39"/>
      <c r="B16" s="22" t="s">
        <v>231</v>
      </c>
      <c r="C16" s="46" t="s">
        <v>232</v>
      </c>
      <c r="D16" s="47">
        <f>IFERROR(SUMPRODUCT((LEFT(Balance!$A$6:$A$75,3)="611")*Balance!F$6:F$75),0)</f>
        <v>94000</v>
      </c>
      <c r="E16" s="47">
        <f>IFERROR(SUMPRODUCT((LEFT(Balance!$A$6:$A$75,3)="611")*Balance!G$6:G$75),0)</f>
        <v>100000</v>
      </c>
      <c r="F16" s="47">
        <f>IFERROR(SUMPRODUCT((LEFT(Balance!$A$6:$A$75,3)="611")*Balance!H$6:H$75),0)</f>
        <v>110000</v>
      </c>
      <c r="G16" s="47">
        <f>IFERROR(SUMPRODUCT((LEFT(Balance!$A$6:$A$75,3)="611")*Balance!I$6:I$75),0)</f>
        <v>104000</v>
      </c>
      <c r="H16" s="47">
        <f>IFERROR(SUMPRODUCT((LEFT(Balance!$A$6:$A$75,3)="611")*Balance!J$6:J$75),0)</f>
        <v>109000</v>
      </c>
      <c r="I16" s="47">
        <f>IFERROR(SUMPRODUCT((LEFT(Balance!$A$6:$A$75,3)="611")*Balance!K$6:K$75),0)</f>
        <v>113000</v>
      </c>
      <c r="J16" s="47">
        <f>IFERROR(SUMPRODUCT((LEFT(Balance!$A$6:$A$75,3)="611")*Balance!L$6:L$75),0)</f>
        <v>107000</v>
      </c>
      <c r="K16" s="47">
        <f>IFERROR(SUMPRODUCT((LEFT(Balance!$A$6:$A$75,3)="611")*Balance!M$6:M$75),0)</f>
        <v>87000</v>
      </c>
      <c r="L16" s="47">
        <f>IFERROR(SUMPRODUCT((LEFT(Balance!$A$6:$A$75,3)="611")*Balance!N$6:N$75),0)</f>
        <v>107000</v>
      </c>
      <c r="M16" s="47">
        <f>IFERROR(SUMPRODUCT((LEFT(Balance!$A$6:$A$75,3)="611")*Balance!O$6:O$75),0)</f>
        <v>115000</v>
      </c>
      <c r="N16" s="47">
        <f>IFERROR(SUMPRODUCT((LEFT(Balance!$A$6:$A$75,3)="611")*Balance!P$6:P$75),0)</f>
        <v>114000</v>
      </c>
      <c r="O16" s="47">
        <f>IFERROR(SUMPRODUCT((LEFT(Balance!$A$6:$A$75,3)="611")*Balance!Q$6:Q$75),0)</f>
        <v>119000</v>
      </c>
      <c r="P16" s="38">
        <f t="shared" ref="P16:P24" si="3">SUM(D16:O16)</f>
        <v>1279000</v>
      </c>
    </row>
    <row r="17" spans="1:16" ht="15" x14ac:dyDescent="0.25">
      <c r="A17" s="39"/>
      <c r="B17" s="22" t="s">
        <v>233</v>
      </c>
      <c r="C17" s="46" t="s">
        <v>234</v>
      </c>
      <c r="D17" s="47">
        <f>IFERROR(SUMPRODUCT((LEFT(Balance!$A$6:$A$75,3)="612")*Balance!F$6:F$75),0)</f>
        <v>3086000</v>
      </c>
      <c r="E17" s="47">
        <f>IFERROR(SUMPRODUCT((LEFT(Balance!$A$6:$A$75,3)="612")*Balance!G$6:G$75),0)</f>
        <v>3502000</v>
      </c>
      <c r="F17" s="47">
        <f>IFERROR(SUMPRODUCT((LEFT(Balance!$A$6:$A$75,3)="612")*Balance!H$6:H$75),0)</f>
        <v>3625000</v>
      </c>
      <c r="G17" s="47">
        <f>IFERROR(SUMPRODUCT((LEFT(Balance!$A$6:$A$75,3)="612")*Balance!I$6:I$75),0)</f>
        <v>3388000</v>
      </c>
      <c r="H17" s="47">
        <f>IFERROR(SUMPRODUCT((LEFT(Balance!$A$6:$A$75,3)="612")*Balance!J$6:J$75),0)</f>
        <v>3794000</v>
      </c>
      <c r="I17" s="47">
        <f>IFERROR(SUMPRODUCT((LEFT(Balance!$A$6:$A$75,3)="612")*Balance!K$6:K$75),0)</f>
        <v>3855000</v>
      </c>
      <c r="J17" s="47">
        <f>IFERROR(SUMPRODUCT((LEFT(Balance!$A$6:$A$75,3)="612")*Balance!L$6:L$75),0)</f>
        <v>3646000</v>
      </c>
      <c r="K17" s="47">
        <f>IFERROR(SUMPRODUCT((LEFT(Balance!$A$6:$A$75,3)="612")*Balance!M$6:M$75),0)</f>
        <v>2927000</v>
      </c>
      <c r="L17" s="47">
        <f>IFERROR(SUMPRODUCT((LEFT(Balance!$A$6:$A$75,3)="612")*Balance!N$6:N$75),0)</f>
        <v>3498000</v>
      </c>
      <c r="M17" s="47">
        <f>IFERROR(SUMPRODUCT((LEFT(Balance!$A$6:$A$75,3)="612")*Balance!O$6:O$75),0)</f>
        <v>4036000</v>
      </c>
      <c r="N17" s="47">
        <f>IFERROR(SUMPRODUCT((LEFT(Balance!$A$6:$A$75,3)="612")*Balance!P$6:P$75),0)</f>
        <v>3759000</v>
      </c>
      <c r="O17" s="47">
        <f>IFERROR(SUMPRODUCT((LEFT(Balance!$A$6:$A$75,3)="612")*Balance!Q$6:Q$75),0)</f>
        <v>4021000</v>
      </c>
      <c r="P17" s="38">
        <f t="shared" si="3"/>
        <v>43137000</v>
      </c>
    </row>
    <row r="18" spans="1:16" ht="15" x14ac:dyDescent="0.25">
      <c r="A18" s="39"/>
      <c r="B18" s="22" t="s">
        <v>235</v>
      </c>
      <c r="C18" s="46" t="s">
        <v>236</v>
      </c>
      <c r="D18" s="47">
        <f>IFERROR(SUMPRODUCT((LEFT(Balance!$A$6:$A$75,3)="613")*Balance!F$6:F$75)+SUMPRODUCT((LEFT(Balance!$A$6:$A$75,3)="614")*Balance!F$6:F$75),0)</f>
        <v>422000</v>
      </c>
      <c r="E18" s="47">
        <f>IFERROR(SUMPRODUCT((LEFT(Balance!$A$6:$A$75,3)="613")*Balance!G$6:G$75)+SUMPRODUCT((LEFT(Balance!$A$6:$A$75,3)="614")*Balance!G$6:G$75),0)</f>
        <v>442000</v>
      </c>
      <c r="F18" s="47">
        <f>IFERROR(SUMPRODUCT((LEFT(Balance!$A$6:$A$75,3)="613")*Balance!H$6:H$75)+SUMPRODUCT((LEFT(Balance!$A$6:$A$75,3)="614")*Balance!H$6:H$75),0)</f>
        <v>458000</v>
      </c>
      <c r="G18" s="47">
        <f>IFERROR(SUMPRODUCT((LEFT(Balance!$A$6:$A$75,3)="613")*Balance!I$6:I$75)+SUMPRODUCT((LEFT(Balance!$A$6:$A$75,3)="614")*Balance!I$6:I$75),0)</f>
        <v>444000</v>
      </c>
      <c r="H18" s="47">
        <f>IFERROR(SUMPRODUCT((LEFT(Balance!$A$6:$A$75,3)="613")*Balance!J$6:J$75)+SUMPRODUCT((LEFT(Balance!$A$6:$A$75,3)="614")*Balance!J$6:J$75),0)</f>
        <v>552000</v>
      </c>
      <c r="I18" s="47">
        <f>IFERROR(SUMPRODUCT((LEFT(Balance!$A$6:$A$75,3)="613")*Balance!K$6:K$75)+SUMPRODUCT((LEFT(Balance!$A$6:$A$75,3)="614")*Balance!K$6:K$75),0)</f>
        <v>889000</v>
      </c>
      <c r="J18" s="47">
        <f>IFERROR(SUMPRODUCT((LEFT(Balance!$A$6:$A$75,3)="613")*Balance!L$6:L$75)+SUMPRODUCT((LEFT(Balance!$A$6:$A$75,3)="614")*Balance!L$6:L$75),0)</f>
        <v>455000</v>
      </c>
      <c r="K18" s="47">
        <f>IFERROR(SUMPRODUCT((LEFT(Balance!$A$6:$A$75,3)="613")*Balance!M$6:M$75)+SUMPRODUCT((LEFT(Balance!$A$6:$A$75,3)="614")*Balance!M$6:M$75),0)</f>
        <v>408000</v>
      </c>
      <c r="L18" s="47">
        <f>IFERROR(SUMPRODUCT((LEFT(Balance!$A$6:$A$75,3)="613")*Balance!N$6:N$75)+SUMPRODUCT((LEFT(Balance!$A$6:$A$75,3)="614")*Balance!N$6:N$75),0)</f>
        <v>450000</v>
      </c>
      <c r="M18" s="47">
        <f>IFERROR(SUMPRODUCT((LEFT(Balance!$A$6:$A$75,3)="613")*Balance!O$6:O$75)+SUMPRODUCT((LEFT(Balance!$A$6:$A$75,3)="614")*Balance!O$6:O$75),0)</f>
        <v>476000</v>
      </c>
      <c r="N18" s="47">
        <f>IFERROR(SUMPRODUCT((LEFT(Balance!$A$6:$A$75,3)="613")*Balance!P$6:P$75)+SUMPRODUCT((LEFT(Balance!$A$6:$A$75,3)="614")*Balance!P$6:P$75),0)</f>
        <v>468000</v>
      </c>
      <c r="O18" s="47">
        <f>IFERROR(SUMPRODUCT((LEFT(Balance!$A$6:$A$75,3)="613")*Balance!Q$6:Q$75)+SUMPRODUCT((LEFT(Balance!$A$6:$A$75,3)="614")*Balance!Q$6:Q$75),0)</f>
        <v>482000</v>
      </c>
      <c r="P18" s="38">
        <f t="shared" si="3"/>
        <v>5946000</v>
      </c>
    </row>
    <row r="19" spans="1:16" ht="15" x14ac:dyDescent="0.25">
      <c r="A19" s="39"/>
      <c r="B19" s="22" t="s">
        <v>237</v>
      </c>
      <c r="C19" s="46" t="s">
        <v>238</v>
      </c>
      <c r="D19" s="47">
        <f>IFERROR(SUMPRODUCT((LEFT(Balance!$A$6:$A$75,3)="616")*Balance!F$6:F$75),0)</f>
        <v>25000</v>
      </c>
      <c r="E19" s="47">
        <f>IFERROR(SUMPRODUCT((LEFT(Balance!$A$6:$A$75,3)="616")*Balance!G$6:G$75),0)</f>
        <v>25000</v>
      </c>
      <c r="F19" s="47">
        <f>IFERROR(SUMPRODUCT((LEFT(Balance!$A$6:$A$75,3)="616")*Balance!H$6:H$75),0)</f>
        <v>25000</v>
      </c>
      <c r="G19" s="47">
        <f>IFERROR(SUMPRODUCT((LEFT(Balance!$A$6:$A$75,3)="616")*Balance!I$6:I$75),0)</f>
        <v>25000</v>
      </c>
      <c r="H19" s="47">
        <f>IFERROR(SUMPRODUCT((LEFT(Balance!$A$6:$A$75,3)="616")*Balance!J$6:J$75),0)</f>
        <v>25000</v>
      </c>
      <c r="I19" s="47">
        <f>IFERROR(SUMPRODUCT((LEFT(Balance!$A$6:$A$75,3)="616")*Balance!K$6:K$75),0)</f>
        <v>25000</v>
      </c>
      <c r="J19" s="47">
        <f>IFERROR(SUMPRODUCT((LEFT(Balance!$A$6:$A$75,3)="616")*Balance!L$6:L$75),0)</f>
        <v>25000</v>
      </c>
      <c r="K19" s="47">
        <f>IFERROR(SUMPRODUCT((LEFT(Balance!$A$6:$A$75,3)="616")*Balance!M$6:M$75),0)</f>
        <v>25000</v>
      </c>
      <c r="L19" s="47">
        <f>IFERROR(SUMPRODUCT((LEFT(Balance!$A$6:$A$75,3)="616")*Balance!N$6:N$75),0)</f>
        <v>25000</v>
      </c>
      <c r="M19" s="47">
        <f>IFERROR(SUMPRODUCT((LEFT(Balance!$A$6:$A$75,3)="616")*Balance!O$6:O$75),0)</f>
        <v>25000</v>
      </c>
      <c r="N19" s="47">
        <f>IFERROR(SUMPRODUCT((LEFT(Balance!$A$6:$A$75,3)="616")*Balance!P$6:P$75),0)</f>
        <v>25000</v>
      </c>
      <c r="O19" s="47">
        <f>IFERROR(SUMPRODUCT((LEFT(Balance!$A$6:$A$75,3)="616")*Balance!Q$6:Q$75),0)</f>
        <v>25000</v>
      </c>
      <c r="P19" s="38">
        <f t="shared" si="3"/>
        <v>300000</v>
      </c>
    </row>
    <row r="20" spans="1:16" ht="15" x14ac:dyDescent="0.25">
      <c r="A20" s="39"/>
      <c r="B20" s="22" t="s">
        <v>239</v>
      </c>
      <c r="C20" s="46" t="s">
        <v>240</v>
      </c>
      <c r="D20" s="47">
        <f>IFERROR(SUMPRODUCT((LEFT(Balance!$A$6:$A$75,3)="617")*Balance!F$6:F$75),0)</f>
        <v>1869000</v>
      </c>
      <c r="E20" s="47">
        <f>IFERROR(SUMPRODUCT((LEFT(Balance!$A$6:$A$75,3)="617")*Balance!G$6:G$75),0)</f>
        <v>1876000</v>
      </c>
      <c r="F20" s="47">
        <f>IFERROR(SUMPRODUCT((LEFT(Balance!$A$6:$A$75,3)="617")*Balance!H$6:H$75),0)</f>
        <v>1884000</v>
      </c>
      <c r="G20" s="47">
        <f>IFERROR(SUMPRODUCT((LEFT(Balance!$A$6:$A$75,3)="617")*Balance!I$6:I$75),0)</f>
        <v>1891000</v>
      </c>
      <c r="H20" s="47">
        <f>IFERROR(SUMPRODUCT((LEFT(Balance!$A$6:$A$75,3)="617")*Balance!J$6:J$75),0)</f>
        <v>1898000</v>
      </c>
      <c r="I20" s="47">
        <f>IFERROR(SUMPRODUCT((LEFT(Balance!$A$6:$A$75,3)="617")*Balance!K$6:K$75),0)</f>
        <v>1906000</v>
      </c>
      <c r="J20" s="47">
        <f>IFERROR(SUMPRODUCT((LEFT(Balance!$A$6:$A$75,3)="617")*Balance!L$6:L$75),0)</f>
        <v>1913000</v>
      </c>
      <c r="K20" s="47">
        <f>IFERROR(SUMPRODUCT((LEFT(Balance!$A$6:$A$75,3)="617")*Balance!M$6:M$75),0)</f>
        <v>1921000</v>
      </c>
      <c r="L20" s="47">
        <f>IFERROR(SUMPRODUCT((LEFT(Balance!$A$6:$A$75,3)="617")*Balance!N$6:N$75),0)</f>
        <v>1928000</v>
      </c>
      <c r="M20" s="47">
        <f>IFERROR(SUMPRODUCT((LEFT(Balance!$A$6:$A$75,3)="617")*Balance!O$6:O$75),0)</f>
        <v>1936000</v>
      </c>
      <c r="N20" s="47">
        <f>IFERROR(SUMPRODUCT((LEFT(Balance!$A$6:$A$75,3)="617")*Balance!P$6:P$75),0)</f>
        <v>1943000</v>
      </c>
      <c r="O20" s="47">
        <f>IFERROR(SUMPRODUCT((LEFT(Balance!$A$6:$A$75,3)="617")*Balance!Q$6:Q$75),0)</f>
        <v>2095000</v>
      </c>
      <c r="P20" s="38">
        <f t="shared" si="3"/>
        <v>23060000</v>
      </c>
    </row>
    <row r="21" spans="1:16" ht="15" x14ac:dyDescent="0.25">
      <c r="A21" s="39"/>
      <c r="B21" s="22" t="s">
        <v>241</v>
      </c>
      <c r="C21" s="46" t="s">
        <v>242</v>
      </c>
      <c r="D21" s="47">
        <f>IFERROR(SUMPRODUCT((LEFT(Balance!$A$6:$A$75,3)="618")*Balance!F$6:F$75),0)</f>
        <v>0</v>
      </c>
      <c r="E21" s="47">
        <f>IFERROR(SUMPRODUCT((LEFT(Balance!$A$6:$A$75,3)="618")*Balance!G$6:G$75),0)</f>
        <v>0</v>
      </c>
      <c r="F21" s="47">
        <f>IFERROR(SUMPRODUCT((LEFT(Balance!$A$6:$A$75,3)="618")*Balance!H$6:H$75),0)</f>
        <v>0</v>
      </c>
      <c r="G21" s="47">
        <f>IFERROR(SUMPRODUCT((LEFT(Balance!$A$6:$A$75,3)="618")*Balance!I$6:I$75),0)</f>
        <v>0</v>
      </c>
      <c r="H21" s="47">
        <f>IFERROR(SUMPRODUCT((LEFT(Balance!$A$6:$A$75,3)="618")*Balance!J$6:J$75),0)</f>
        <v>0</v>
      </c>
      <c r="I21" s="47">
        <f>IFERROR(SUMPRODUCT((LEFT(Balance!$A$6:$A$75,3)="618")*Balance!K$6:K$75),0)</f>
        <v>0</v>
      </c>
      <c r="J21" s="47">
        <f>IFERROR(SUMPRODUCT((LEFT(Balance!$A$6:$A$75,3)="618")*Balance!L$6:L$75),0)</f>
        <v>0</v>
      </c>
      <c r="K21" s="47">
        <f>IFERROR(SUMPRODUCT((LEFT(Balance!$A$6:$A$75,3)="618")*Balance!M$6:M$75),0)</f>
        <v>0</v>
      </c>
      <c r="L21" s="47">
        <f>IFERROR(SUMPRODUCT((LEFT(Balance!$A$6:$A$75,3)="618")*Balance!N$6:N$75),0)</f>
        <v>0</v>
      </c>
      <c r="M21" s="47">
        <f>IFERROR(SUMPRODUCT((LEFT(Balance!$A$6:$A$75,3)="618")*Balance!O$6:O$75),0)</f>
        <v>0</v>
      </c>
      <c r="N21" s="47">
        <f>IFERROR(SUMPRODUCT((LEFT(Balance!$A$6:$A$75,3)="618")*Balance!P$6:P$75),0)</f>
        <v>0</v>
      </c>
      <c r="O21" s="47">
        <f>IFERROR(SUMPRODUCT((LEFT(Balance!$A$6:$A$75,3)="618")*Balance!Q$6:Q$75),0)</f>
        <v>35000</v>
      </c>
      <c r="P21" s="38">
        <f t="shared" si="3"/>
        <v>35000</v>
      </c>
    </row>
    <row r="22" spans="1:16" ht="15" x14ac:dyDescent="0.25">
      <c r="A22" s="39"/>
      <c r="B22" s="22" t="s">
        <v>243</v>
      </c>
      <c r="C22" s="46" t="s">
        <v>244</v>
      </c>
      <c r="D22" s="47">
        <f>IFERROR(SUMPRODUCT((LEFT(Balance!$A$6:$A$75,3)="619")*Balance!F$6:F$75),0)</f>
        <v>382500</v>
      </c>
      <c r="E22" s="47">
        <f>IFERROR(SUMPRODUCT((LEFT(Balance!$A$6:$A$75,3)="619")*Balance!G$6:G$75),0)</f>
        <v>382500</v>
      </c>
      <c r="F22" s="47">
        <f>IFERROR(SUMPRODUCT((LEFT(Balance!$A$6:$A$75,3)="619")*Balance!H$6:H$75),0)</f>
        <v>382500</v>
      </c>
      <c r="G22" s="47">
        <f>IFERROR(SUMPRODUCT((LEFT(Balance!$A$6:$A$75,3)="619")*Balance!I$6:I$75),0)</f>
        <v>382500</v>
      </c>
      <c r="H22" s="47">
        <f>IFERROR(SUMPRODUCT((LEFT(Balance!$A$6:$A$75,3)="619")*Balance!J$6:J$75),0)</f>
        <v>397500</v>
      </c>
      <c r="I22" s="47">
        <f>IFERROR(SUMPRODUCT((LEFT(Balance!$A$6:$A$75,3)="619")*Balance!K$6:K$75),0)</f>
        <v>457500</v>
      </c>
      <c r="J22" s="47">
        <f>IFERROR(SUMPRODUCT((LEFT(Balance!$A$6:$A$75,3)="619")*Balance!L$6:L$75),0)</f>
        <v>397500</v>
      </c>
      <c r="K22" s="47">
        <f>IFERROR(SUMPRODUCT((LEFT(Balance!$A$6:$A$75,3)="619")*Balance!M$6:M$75),0)</f>
        <v>397500</v>
      </c>
      <c r="L22" s="47">
        <f>IFERROR(SUMPRODUCT((LEFT(Balance!$A$6:$A$75,3)="619")*Balance!N$6:N$75),0)</f>
        <v>397500</v>
      </c>
      <c r="M22" s="47">
        <f>IFERROR(SUMPRODUCT((LEFT(Balance!$A$6:$A$75,3)="619")*Balance!O$6:O$75),0)</f>
        <v>397500</v>
      </c>
      <c r="N22" s="47">
        <f>IFERROR(SUMPRODUCT((LEFT(Balance!$A$6:$A$75,3)="619")*Balance!P$6:P$75),0)</f>
        <v>389500</v>
      </c>
      <c r="O22" s="47">
        <f>IFERROR(SUMPRODUCT((LEFT(Balance!$A$6:$A$75,3)="619")*Balance!Q$6:Q$75),0)</f>
        <v>469500</v>
      </c>
      <c r="P22" s="38">
        <f t="shared" si="3"/>
        <v>4834000</v>
      </c>
    </row>
    <row r="23" spans="1:16" ht="15" x14ac:dyDescent="0.25">
      <c r="A23" s="40"/>
      <c r="B23" s="49" t="s">
        <v>245</v>
      </c>
      <c r="C23" s="40"/>
      <c r="D23" s="42">
        <f t="shared" ref="D23:O23" si="4">D16+D17+D18+D19+D20+D21+D22</f>
        <v>5878500</v>
      </c>
      <c r="E23" s="42">
        <f t="shared" si="4"/>
        <v>6327500</v>
      </c>
      <c r="F23" s="42">
        <f t="shared" si="4"/>
        <v>6484500</v>
      </c>
      <c r="G23" s="42">
        <f t="shared" si="4"/>
        <v>6234500</v>
      </c>
      <c r="H23" s="42">
        <f t="shared" si="4"/>
        <v>6775500</v>
      </c>
      <c r="I23" s="42">
        <f t="shared" si="4"/>
        <v>7245500</v>
      </c>
      <c r="J23" s="42">
        <f t="shared" si="4"/>
        <v>6543500</v>
      </c>
      <c r="K23" s="42">
        <f t="shared" si="4"/>
        <v>5765500</v>
      </c>
      <c r="L23" s="42">
        <f t="shared" si="4"/>
        <v>6405500</v>
      </c>
      <c r="M23" s="42">
        <f t="shared" si="4"/>
        <v>6985500</v>
      </c>
      <c r="N23" s="42">
        <f t="shared" si="4"/>
        <v>6698500</v>
      </c>
      <c r="O23" s="42">
        <f t="shared" si="4"/>
        <v>7246500</v>
      </c>
      <c r="P23" s="42">
        <f t="shared" si="3"/>
        <v>78591000</v>
      </c>
    </row>
    <row r="24" spans="1:16" ht="15" x14ac:dyDescent="0.25">
      <c r="A24" s="13"/>
      <c r="B24" s="50" t="s">
        <v>246</v>
      </c>
      <c r="C24" s="13"/>
      <c r="D24" s="51">
        <f t="shared" ref="D24:O24" si="5">D14-D23</f>
        <v>547500</v>
      </c>
      <c r="E24" s="51">
        <f t="shared" si="5"/>
        <v>946500</v>
      </c>
      <c r="F24" s="51">
        <f t="shared" si="5"/>
        <v>1051500</v>
      </c>
      <c r="G24" s="51">
        <f t="shared" si="5"/>
        <v>815500</v>
      </c>
      <c r="H24" s="51">
        <f t="shared" si="5"/>
        <v>1101500</v>
      </c>
      <c r="I24" s="51">
        <f t="shared" si="5"/>
        <v>758500</v>
      </c>
      <c r="J24" s="51">
        <f t="shared" si="5"/>
        <v>1031500</v>
      </c>
      <c r="K24" s="51">
        <f t="shared" si="5"/>
        <v>330500</v>
      </c>
      <c r="L24" s="51">
        <f t="shared" si="5"/>
        <v>871500</v>
      </c>
      <c r="M24" s="51">
        <f t="shared" si="5"/>
        <v>1387500</v>
      </c>
      <c r="N24" s="51">
        <f t="shared" si="5"/>
        <v>1112500</v>
      </c>
      <c r="O24" s="51">
        <f t="shared" si="5"/>
        <v>1137500</v>
      </c>
      <c r="P24" s="51">
        <f t="shared" si="3"/>
        <v>11092000</v>
      </c>
    </row>
    <row r="25" spans="1:16" ht="15" x14ac:dyDescent="0.25">
      <c r="A25" s="45" t="s">
        <v>247</v>
      </c>
      <c r="B25" s="34" t="s">
        <v>248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</row>
    <row r="26" spans="1:16" ht="15" x14ac:dyDescent="0.25">
      <c r="A26" s="39"/>
      <c r="B26" s="22" t="s">
        <v>249</v>
      </c>
      <c r="C26" s="46" t="s">
        <v>250</v>
      </c>
      <c r="D26" s="47">
        <f>IFERROR(SUMPRODUCT((LEFT(Balance!$A$6:$A$75,3)="732")*Balance!F$6:F$75),0)</f>
        <v>0</v>
      </c>
      <c r="E26" s="47">
        <f>IFERROR(SUMPRODUCT((LEFT(Balance!$A$6:$A$75,3)="732")*Balance!G$6:G$75),0)</f>
        <v>0</v>
      </c>
      <c r="F26" s="47">
        <f>IFERROR(SUMPRODUCT((LEFT(Balance!$A$6:$A$75,3)="732")*Balance!H$6:H$75),0)</f>
        <v>0</v>
      </c>
      <c r="G26" s="47">
        <f>IFERROR(SUMPRODUCT((LEFT(Balance!$A$6:$A$75,3)="732")*Balance!I$6:I$75),0)</f>
        <v>0</v>
      </c>
      <c r="H26" s="47">
        <f>IFERROR(SUMPRODUCT((LEFT(Balance!$A$6:$A$75,3)="732")*Balance!J$6:J$75),0)</f>
        <v>0</v>
      </c>
      <c r="I26" s="47">
        <f>IFERROR(SUMPRODUCT((LEFT(Balance!$A$6:$A$75,3)="732")*Balance!K$6:K$75),0)</f>
        <v>0</v>
      </c>
      <c r="J26" s="47">
        <f>IFERROR(SUMPRODUCT((LEFT(Balance!$A$6:$A$75,3)="732")*Balance!L$6:L$75),0)</f>
        <v>0</v>
      </c>
      <c r="K26" s="47">
        <f>IFERROR(SUMPRODUCT((LEFT(Balance!$A$6:$A$75,3)="732")*Balance!M$6:M$75),0)</f>
        <v>0</v>
      </c>
      <c r="L26" s="47">
        <f>IFERROR(SUMPRODUCT((LEFT(Balance!$A$6:$A$75,3)="732")*Balance!N$6:N$75),0)</f>
        <v>0</v>
      </c>
      <c r="M26" s="47">
        <f>IFERROR(SUMPRODUCT((LEFT(Balance!$A$6:$A$75,3)="732")*Balance!O$6:O$75),0)</f>
        <v>0</v>
      </c>
      <c r="N26" s="47">
        <f>IFERROR(SUMPRODUCT((LEFT(Balance!$A$6:$A$75,3)="732")*Balance!P$6:P$75),0)</f>
        <v>0</v>
      </c>
      <c r="O26" s="47">
        <f>IFERROR(SUMPRODUCT((LEFT(Balance!$A$6:$A$75,3)="732")*Balance!Q$6:Q$75),0)</f>
        <v>0</v>
      </c>
      <c r="P26" s="38">
        <f>SUM(D26:O26)</f>
        <v>0</v>
      </c>
    </row>
    <row r="27" spans="1:16" ht="15" x14ac:dyDescent="0.25">
      <c r="A27" s="39"/>
      <c r="B27" s="22" t="s">
        <v>251</v>
      </c>
      <c r="C27" s="46" t="s">
        <v>252</v>
      </c>
      <c r="D27" s="47">
        <f>IFERROR(SUMPRODUCT((LEFT(Balance!$A$6:$A$75,3)="733")*Balance!F$6:F$75),0)</f>
        <v>47000</v>
      </c>
      <c r="E27" s="47">
        <f>IFERROR(SUMPRODUCT((LEFT(Balance!$A$6:$A$75,3)="733")*Balance!G$6:G$75),0)</f>
        <v>111000</v>
      </c>
      <c r="F27" s="47">
        <f>IFERROR(SUMPRODUCT((LEFT(Balance!$A$6:$A$75,3)="733")*Balance!H$6:H$75),0)</f>
        <v>110000</v>
      </c>
      <c r="G27" s="47">
        <f>IFERROR(SUMPRODUCT((LEFT(Balance!$A$6:$A$75,3)="733")*Balance!I$6:I$75),0)</f>
        <v>86000</v>
      </c>
      <c r="H27" s="47">
        <f>IFERROR(SUMPRODUCT((LEFT(Balance!$A$6:$A$75,3)="733")*Balance!J$6:J$75),0)</f>
        <v>65000</v>
      </c>
      <c r="I27" s="47">
        <f>IFERROR(SUMPRODUCT((LEFT(Balance!$A$6:$A$75,3)="733")*Balance!K$6:K$75),0)</f>
        <v>66000</v>
      </c>
      <c r="J27" s="47">
        <f>IFERROR(SUMPRODUCT((LEFT(Balance!$A$6:$A$75,3)="733")*Balance!L$6:L$75),0)</f>
        <v>105000</v>
      </c>
      <c r="K27" s="47">
        <f>IFERROR(SUMPRODUCT((LEFT(Balance!$A$6:$A$75,3)="733")*Balance!M$6:M$75),0)</f>
        <v>53000</v>
      </c>
      <c r="L27" s="47">
        <f>IFERROR(SUMPRODUCT((LEFT(Balance!$A$6:$A$75,3)="733")*Balance!N$6:N$75),0)</f>
        <v>98000</v>
      </c>
      <c r="M27" s="47">
        <f>IFERROR(SUMPRODUCT((LEFT(Balance!$A$6:$A$75,3)="733")*Balance!O$6:O$75),0)</f>
        <v>46000</v>
      </c>
      <c r="N27" s="47">
        <f>IFERROR(SUMPRODUCT((LEFT(Balance!$A$6:$A$75,3)="733")*Balance!P$6:P$75),0)</f>
        <v>69000</v>
      </c>
      <c r="O27" s="47">
        <f>IFERROR(SUMPRODUCT((LEFT(Balance!$A$6:$A$75,3)="733")*Balance!Q$6:Q$75),0)</f>
        <v>105000</v>
      </c>
      <c r="P27" s="38">
        <f>SUM(D27:O27)</f>
        <v>961000</v>
      </c>
    </row>
    <row r="28" spans="1:16" ht="15" x14ac:dyDescent="0.25">
      <c r="A28" s="39"/>
      <c r="B28" s="22" t="s">
        <v>253</v>
      </c>
      <c r="C28" s="46" t="s">
        <v>254</v>
      </c>
      <c r="D28" s="47">
        <f>IFERROR(SUMPRODUCT((LEFT(Balance!$A$6:$A$75,3)="738")*Balance!F$6:F$75),0)</f>
        <v>5000</v>
      </c>
      <c r="E28" s="47">
        <f>IFERROR(SUMPRODUCT((LEFT(Balance!$A$6:$A$75,3)="738")*Balance!G$6:G$75),0)</f>
        <v>5000</v>
      </c>
      <c r="F28" s="47">
        <f>IFERROR(SUMPRODUCT((LEFT(Balance!$A$6:$A$75,3)="738")*Balance!H$6:H$75),0)</f>
        <v>5000</v>
      </c>
      <c r="G28" s="47">
        <f>IFERROR(SUMPRODUCT((LEFT(Balance!$A$6:$A$75,3)="738")*Balance!I$6:I$75),0)</f>
        <v>5000</v>
      </c>
      <c r="H28" s="47">
        <f>IFERROR(SUMPRODUCT((LEFT(Balance!$A$6:$A$75,3)="738")*Balance!J$6:J$75),0)</f>
        <v>5000</v>
      </c>
      <c r="I28" s="47">
        <f>IFERROR(SUMPRODUCT((LEFT(Balance!$A$6:$A$75,3)="738")*Balance!K$6:K$75),0)</f>
        <v>5000</v>
      </c>
      <c r="J28" s="47">
        <f>IFERROR(SUMPRODUCT((LEFT(Balance!$A$6:$A$75,3)="738")*Balance!L$6:L$75),0)</f>
        <v>5000</v>
      </c>
      <c r="K28" s="47">
        <f>IFERROR(SUMPRODUCT((LEFT(Balance!$A$6:$A$75,3)="738")*Balance!M$6:M$75),0)</f>
        <v>5000</v>
      </c>
      <c r="L28" s="47">
        <f>IFERROR(SUMPRODUCT((LEFT(Balance!$A$6:$A$75,3)="738")*Balance!N$6:N$75),0)</f>
        <v>5000</v>
      </c>
      <c r="M28" s="47">
        <f>IFERROR(SUMPRODUCT((LEFT(Balance!$A$6:$A$75,3)="738")*Balance!O$6:O$75),0)</f>
        <v>5000</v>
      </c>
      <c r="N28" s="47">
        <f>IFERROR(SUMPRODUCT((LEFT(Balance!$A$6:$A$75,3)="738")*Balance!P$6:P$75),0)</f>
        <v>5000</v>
      </c>
      <c r="O28" s="47">
        <f>IFERROR(SUMPRODUCT((LEFT(Balance!$A$6:$A$75,3)="738")*Balance!Q$6:Q$75),0)</f>
        <v>5000</v>
      </c>
      <c r="P28" s="38">
        <f>SUM(D28:O28)</f>
        <v>60000</v>
      </c>
    </row>
    <row r="29" spans="1:16" ht="15" x14ac:dyDescent="0.25">
      <c r="A29" s="39"/>
      <c r="B29" s="22" t="s">
        <v>255</v>
      </c>
      <c r="C29" s="46" t="s">
        <v>256</v>
      </c>
      <c r="D29" s="47">
        <f>IFERROR(SUMPRODUCT((LEFT(Balance!$A$6:$A$75,3)="739")*Balance!F$6:F$75),0)</f>
        <v>0</v>
      </c>
      <c r="E29" s="47">
        <f>IFERROR(SUMPRODUCT((LEFT(Balance!$A$6:$A$75,3)="739")*Balance!G$6:G$75),0)</f>
        <v>0</v>
      </c>
      <c r="F29" s="47">
        <f>IFERROR(SUMPRODUCT((LEFT(Balance!$A$6:$A$75,3)="739")*Balance!H$6:H$75),0)</f>
        <v>0</v>
      </c>
      <c r="G29" s="47">
        <f>IFERROR(SUMPRODUCT((LEFT(Balance!$A$6:$A$75,3)="739")*Balance!I$6:I$75),0)</f>
        <v>0</v>
      </c>
      <c r="H29" s="47">
        <f>IFERROR(SUMPRODUCT((LEFT(Balance!$A$6:$A$75,3)="739")*Balance!J$6:J$75),0)</f>
        <v>0</v>
      </c>
      <c r="I29" s="47">
        <f>IFERROR(SUMPRODUCT((LEFT(Balance!$A$6:$A$75,3)="739")*Balance!K$6:K$75),0)</f>
        <v>0</v>
      </c>
      <c r="J29" s="47">
        <f>IFERROR(SUMPRODUCT((LEFT(Balance!$A$6:$A$75,3)="739")*Balance!L$6:L$75),0)</f>
        <v>0</v>
      </c>
      <c r="K29" s="47">
        <f>IFERROR(SUMPRODUCT((LEFT(Balance!$A$6:$A$75,3)="739")*Balance!M$6:M$75),0)</f>
        <v>0</v>
      </c>
      <c r="L29" s="47">
        <f>IFERROR(SUMPRODUCT((LEFT(Balance!$A$6:$A$75,3)="739")*Balance!N$6:N$75),0)</f>
        <v>0</v>
      </c>
      <c r="M29" s="47">
        <f>IFERROR(SUMPRODUCT((LEFT(Balance!$A$6:$A$75,3)="739")*Balance!O$6:O$75),0)</f>
        <v>0</v>
      </c>
      <c r="N29" s="47">
        <f>IFERROR(SUMPRODUCT((LEFT(Balance!$A$6:$A$75,3)="739")*Balance!P$6:P$75),0)</f>
        <v>0</v>
      </c>
      <c r="O29" s="47">
        <f>IFERROR(SUMPRODUCT((LEFT(Balance!$A$6:$A$75,3)="739")*Balance!Q$6:Q$75),0)</f>
        <v>0</v>
      </c>
      <c r="P29" s="38">
        <f>SUM(D29:O29)</f>
        <v>0</v>
      </c>
    </row>
    <row r="30" spans="1:16" ht="15" x14ac:dyDescent="0.25">
      <c r="A30" s="40"/>
      <c r="B30" s="49" t="s">
        <v>257</v>
      </c>
      <c r="C30" s="40"/>
      <c r="D30" s="42">
        <f t="shared" ref="D30:O30" si="6">D26+D27+D28+D29</f>
        <v>52000</v>
      </c>
      <c r="E30" s="42">
        <f t="shared" si="6"/>
        <v>116000</v>
      </c>
      <c r="F30" s="42">
        <f t="shared" si="6"/>
        <v>115000</v>
      </c>
      <c r="G30" s="42">
        <f t="shared" si="6"/>
        <v>91000</v>
      </c>
      <c r="H30" s="42">
        <f t="shared" si="6"/>
        <v>70000</v>
      </c>
      <c r="I30" s="42">
        <f t="shared" si="6"/>
        <v>71000</v>
      </c>
      <c r="J30" s="42">
        <f t="shared" si="6"/>
        <v>110000</v>
      </c>
      <c r="K30" s="42">
        <f t="shared" si="6"/>
        <v>58000</v>
      </c>
      <c r="L30" s="42">
        <f t="shared" si="6"/>
        <v>103000</v>
      </c>
      <c r="M30" s="42">
        <f t="shared" si="6"/>
        <v>51000</v>
      </c>
      <c r="N30" s="42">
        <f t="shared" si="6"/>
        <v>74000</v>
      </c>
      <c r="O30" s="42">
        <f t="shared" si="6"/>
        <v>110000</v>
      </c>
      <c r="P30" s="42">
        <f>SUM(D30:O30)</f>
        <v>1021000</v>
      </c>
    </row>
    <row r="31" spans="1:16" ht="15" x14ac:dyDescent="0.25">
      <c r="A31" s="45" t="s">
        <v>258</v>
      </c>
      <c r="B31" s="34" t="s">
        <v>259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</row>
    <row r="32" spans="1:16" ht="15" x14ac:dyDescent="0.25">
      <c r="A32" s="39"/>
      <c r="B32" s="22" t="s">
        <v>260</v>
      </c>
      <c r="C32" s="46" t="s">
        <v>261</v>
      </c>
      <c r="D32" s="47">
        <f>IFERROR(SUMPRODUCT((LEFT(Balance!$A$6:$A$75,3)="631")*Balance!F$6:F$75),0)</f>
        <v>104000</v>
      </c>
      <c r="E32" s="47">
        <f>IFERROR(SUMPRODUCT((LEFT(Balance!$A$6:$A$75,3)="631")*Balance!G$6:G$75),0)</f>
        <v>102700</v>
      </c>
      <c r="F32" s="47">
        <f>IFERROR(SUMPRODUCT((LEFT(Balance!$A$6:$A$75,3)="631")*Balance!H$6:H$75),0)</f>
        <v>101400</v>
      </c>
      <c r="G32" s="47">
        <f>IFERROR(SUMPRODUCT((LEFT(Balance!$A$6:$A$75,3)="631")*Balance!I$6:I$75),0)</f>
        <v>100100</v>
      </c>
      <c r="H32" s="47">
        <f>IFERROR(SUMPRODUCT((LEFT(Balance!$A$6:$A$75,3)="631")*Balance!J$6:J$75),0)</f>
        <v>98800</v>
      </c>
      <c r="I32" s="47">
        <f>IFERROR(SUMPRODUCT((LEFT(Balance!$A$6:$A$75,3)="631")*Balance!K$6:K$75),0)</f>
        <v>97500</v>
      </c>
      <c r="J32" s="47">
        <f>IFERROR(SUMPRODUCT((LEFT(Balance!$A$6:$A$75,3)="631")*Balance!L$6:L$75),0)</f>
        <v>96200</v>
      </c>
      <c r="K32" s="47">
        <f>IFERROR(SUMPRODUCT((LEFT(Balance!$A$6:$A$75,3)="631")*Balance!M$6:M$75),0)</f>
        <v>94900</v>
      </c>
      <c r="L32" s="47">
        <f>IFERROR(SUMPRODUCT((LEFT(Balance!$A$6:$A$75,3)="631")*Balance!N$6:N$75),0)</f>
        <v>93600</v>
      </c>
      <c r="M32" s="47">
        <f>IFERROR(SUMPRODUCT((LEFT(Balance!$A$6:$A$75,3)="631")*Balance!O$6:O$75),0)</f>
        <v>92300</v>
      </c>
      <c r="N32" s="47">
        <f>IFERROR(SUMPRODUCT((LEFT(Balance!$A$6:$A$75,3)="631")*Balance!P$6:P$75),0)</f>
        <v>91000</v>
      </c>
      <c r="O32" s="47">
        <f>IFERROR(SUMPRODUCT((LEFT(Balance!$A$6:$A$75,3)="631")*Balance!Q$6:Q$75),0)</f>
        <v>89700</v>
      </c>
      <c r="P32" s="38">
        <f t="shared" ref="P32:P38" si="7">SUM(D32:O32)</f>
        <v>1162200</v>
      </c>
    </row>
    <row r="33" spans="1:16" ht="15" x14ac:dyDescent="0.25">
      <c r="A33" s="39"/>
      <c r="B33" s="22" t="s">
        <v>262</v>
      </c>
      <c r="C33" s="46" t="s">
        <v>263</v>
      </c>
      <c r="D33" s="47">
        <f>IFERROR(SUMPRODUCT((LEFT(Balance!$A$6:$A$75,3)="633")*Balance!F$6:F$75),0)</f>
        <v>27000</v>
      </c>
      <c r="E33" s="47">
        <f>IFERROR(SUMPRODUCT((LEFT(Balance!$A$6:$A$75,3)="633")*Balance!G$6:G$75),0)</f>
        <v>37000</v>
      </c>
      <c r="F33" s="47">
        <f>IFERROR(SUMPRODUCT((LEFT(Balance!$A$6:$A$75,3)="633")*Balance!H$6:H$75),0)</f>
        <v>52000</v>
      </c>
      <c r="G33" s="47">
        <f>IFERROR(SUMPRODUCT((LEFT(Balance!$A$6:$A$75,3)="633")*Balance!I$6:I$75),0)</f>
        <v>21000</v>
      </c>
      <c r="H33" s="47">
        <f>IFERROR(SUMPRODUCT((LEFT(Balance!$A$6:$A$75,3)="633")*Balance!J$6:J$75),0)</f>
        <v>29000</v>
      </c>
      <c r="I33" s="47">
        <f>IFERROR(SUMPRODUCT((LEFT(Balance!$A$6:$A$75,3)="633")*Balance!K$6:K$75),0)</f>
        <v>61000</v>
      </c>
      <c r="J33" s="47">
        <f>IFERROR(SUMPRODUCT((LEFT(Balance!$A$6:$A$75,3)="633")*Balance!L$6:L$75),0)</f>
        <v>20000</v>
      </c>
      <c r="K33" s="47">
        <f>IFERROR(SUMPRODUCT((LEFT(Balance!$A$6:$A$75,3)="633")*Balance!M$6:M$75),0)</f>
        <v>27000</v>
      </c>
      <c r="L33" s="47">
        <f>IFERROR(SUMPRODUCT((LEFT(Balance!$A$6:$A$75,3)="633")*Balance!N$6:N$75),0)</f>
        <v>30000</v>
      </c>
      <c r="M33" s="47">
        <f>IFERROR(SUMPRODUCT((LEFT(Balance!$A$6:$A$75,3)="633")*Balance!O$6:O$75),0)</f>
        <v>52000</v>
      </c>
      <c r="N33" s="47">
        <f>IFERROR(SUMPRODUCT((LEFT(Balance!$A$6:$A$75,3)="633")*Balance!P$6:P$75),0)</f>
        <v>33000</v>
      </c>
      <c r="O33" s="47">
        <f>IFERROR(SUMPRODUCT((LEFT(Balance!$A$6:$A$75,3)="633")*Balance!Q$6:Q$75),0)</f>
        <v>69000</v>
      </c>
      <c r="P33" s="38">
        <f t="shared" si="7"/>
        <v>458000</v>
      </c>
    </row>
    <row r="34" spans="1:16" ht="15" x14ac:dyDescent="0.25">
      <c r="A34" s="39"/>
      <c r="B34" s="22" t="s">
        <v>264</v>
      </c>
      <c r="C34" s="46" t="s">
        <v>265</v>
      </c>
      <c r="D34" s="47">
        <f>IFERROR(SUMPRODUCT((LEFT(Balance!$A$6:$A$75,3)="638")*Balance!F$6:F$75),0)</f>
        <v>0</v>
      </c>
      <c r="E34" s="47">
        <f>IFERROR(SUMPRODUCT((LEFT(Balance!$A$6:$A$75,3)="638")*Balance!G$6:G$75),0)</f>
        <v>0</v>
      </c>
      <c r="F34" s="47">
        <f>IFERROR(SUMPRODUCT((LEFT(Balance!$A$6:$A$75,3)="638")*Balance!H$6:H$75),0)</f>
        <v>0</v>
      </c>
      <c r="G34" s="47">
        <f>IFERROR(SUMPRODUCT((LEFT(Balance!$A$6:$A$75,3)="638")*Balance!I$6:I$75),0)</f>
        <v>0</v>
      </c>
      <c r="H34" s="47">
        <f>IFERROR(SUMPRODUCT((LEFT(Balance!$A$6:$A$75,3)="638")*Balance!J$6:J$75),0)</f>
        <v>0</v>
      </c>
      <c r="I34" s="47">
        <f>IFERROR(SUMPRODUCT((LEFT(Balance!$A$6:$A$75,3)="638")*Balance!K$6:K$75),0)</f>
        <v>0</v>
      </c>
      <c r="J34" s="47">
        <f>IFERROR(SUMPRODUCT((LEFT(Balance!$A$6:$A$75,3)="638")*Balance!L$6:L$75),0)</f>
        <v>0</v>
      </c>
      <c r="K34" s="47">
        <f>IFERROR(SUMPRODUCT((LEFT(Balance!$A$6:$A$75,3)="638")*Balance!M$6:M$75),0)</f>
        <v>0</v>
      </c>
      <c r="L34" s="47">
        <f>IFERROR(SUMPRODUCT((LEFT(Balance!$A$6:$A$75,3)="638")*Balance!N$6:N$75),0)</f>
        <v>0</v>
      </c>
      <c r="M34" s="47">
        <f>IFERROR(SUMPRODUCT((LEFT(Balance!$A$6:$A$75,3)="638")*Balance!O$6:O$75),0)</f>
        <v>0</v>
      </c>
      <c r="N34" s="47">
        <f>IFERROR(SUMPRODUCT((LEFT(Balance!$A$6:$A$75,3)="638")*Balance!P$6:P$75),0)</f>
        <v>0</v>
      </c>
      <c r="O34" s="47">
        <f>IFERROR(SUMPRODUCT((LEFT(Balance!$A$6:$A$75,3)="638")*Balance!Q$6:Q$75),0)</f>
        <v>0</v>
      </c>
      <c r="P34" s="38">
        <f t="shared" si="7"/>
        <v>0</v>
      </c>
    </row>
    <row r="35" spans="1:16" ht="15" x14ac:dyDescent="0.25">
      <c r="A35" s="39"/>
      <c r="B35" s="22" t="s">
        <v>266</v>
      </c>
      <c r="C35" s="46" t="s">
        <v>267</v>
      </c>
      <c r="D35" s="47">
        <f>IFERROR(SUMPRODUCT((LEFT(Balance!$A$6:$A$75,3)="639")*Balance!F$6:F$75),0)</f>
        <v>0</v>
      </c>
      <c r="E35" s="47">
        <f>IFERROR(SUMPRODUCT((LEFT(Balance!$A$6:$A$75,3)="639")*Balance!G$6:G$75),0)</f>
        <v>0</v>
      </c>
      <c r="F35" s="47">
        <f>IFERROR(SUMPRODUCT((LEFT(Balance!$A$6:$A$75,3)="639")*Balance!H$6:H$75),0)</f>
        <v>0</v>
      </c>
      <c r="G35" s="47">
        <f>IFERROR(SUMPRODUCT((LEFT(Balance!$A$6:$A$75,3)="639")*Balance!I$6:I$75),0)</f>
        <v>0</v>
      </c>
      <c r="H35" s="47">
        <f>IFERROR(SUMPRODUCT((LEFT(Balance!$A$6:$A$75,3)="639")*Balance!J$6:J$75),0)</f>
        <v>0</v>
      </c>
      <c r="I35" s="47">
        <f>IFERROR(SUMPRODUCT((LEFT(Balance!$A$6:$A$75,3)="639")*Balance!K$6:K$75),0)</f>
        <v>0</v>
      </c>
      <c r="J35" s="47">
        <f>IFERROR(SUMPRODUCT((LEFT(Balance!$A$6:$A$75,3)="639")*Balance!L$6:L$75),0)</f>
        <v>0</v>
      </c>
      <c r="K35" s="47">
        <f>IFERROR(SUMPRODUCT((LEFT(Balance!$A$6:$A$75,3)="639")*Balance!M$6:M$75),0)</f>
        <v>0</v>
      </c>
      <c r="L35" s="47">
        <f>IFERROR(SUMPRODUCT((LEFT(Balance!$A$6:$A$75,3)="639")*Balance!N$6:N$75),0)</f>
        <v>0</v>
      </c>
      <c r="M35" s="47">
        <f>IFERROR(SUMPRODUCT((LEFT(Balance!$A$6:$A$75,3)="639")*Balance!O$6:O$75),0)</f>
        <v>0</v>
      </c>
      <c r="N35" s="47">
        <f>IFERROR(SUMPRODUCT((LEFT(Balance!$A$6:$A$75,3)="639")*Balance!P$6:P$75),0)</f>
        <v>0</v>
      </c>
      <c r="O35" s="47">
        <f>IFERROR(SUMPRODUCT((LEFT(Balance!$A$6:$A$75,3)="639")*Balance!Q$6:Q$75),0)</f>
        <v>0</v>
      </c>
      <c r="P35" s="38">
        <f t="shared" si="7"/>
        <v>0</v>
      </c>
    </row>
    <row r="36" spans="1:16" ht="15" x14ac:dyDescent="0.25">
      <c r="A36" s="40"/>
      <c r="B36" s="49" t="s">
        <v>268</v>
      </c>
      <c r="C36" s="40"/>
      <c r="D36" s="42">
        <f t="shared" ref="D36:O36" si="8">D32+D33+D34+D35</f>
        <v>131000</v>
      </c>
      <c r="E36" s="42">
        <f t="shared" si="8"/>
        <v>139700</v>
      </c>
      <c r="F36" s="42">
        <f t="shared" si="8"/>
        <v>153400</v>
      </c>
      <c r="G36" s="42">
        <f t="shared" si="8"/>
        <v>121100</v>
      </c>
      <c r="H36" s="42">
        <f t="shared" si="8"/>
        <v>127800</v>
      </c>
      <c r="I36" s="42">
        <f t="shared" si="8"/>
        <v>158500</v>
      </c>
      <c r="J36" s="42">
        <f t="shared" si="8"/>
        <v>116200</v>
      </c>
      <c r="K36" s="42">
        <f t="shared" si="8"/>
        <v>121900</v>
      </c>
      <c r="L36" s="42">
        <f t="shared" si="8"/>
        <v>123600</v>
      </c>
      <c r="M36" s="42">
        <f t="shared" si="8"/>
        <v>144300</v>
      </c>
      <c r="N36" s="42">
        <f t="shared" si="8"/>
        <v>124000</v>
      </c>
      <c r="O36" s="42">
        <f t="shared" si="8"/>
        <v>158700</v>
      </c>
      <c r="P36" s="42">
        <f t="shared" si="7"/>
        <v>1620200</v>
      </c>
    </row>
    <row r="37" spans="1:16" ht="15" x14ac:dyDescent="0.25">
      <c r="A37" s="13"/>
      <c r="B37" s="50" t="s">
        <v>269</v>
      </c>
      <c r="C37" s="13"/>
      <c r="D37" s="51">
        <f t="shared" ref="D37:O37" si="9">D30-D36</f>
        <v>-79000</v>
      </c>
      <c r="E37" s="51">
        <f t="shared" si="9"/>
        <v>-23700</v>
      </c>
      <c r="F37" s="51">
        <f t="shared" si="9"/>
        <v>-38400</v>
      </c>
      <c r="G37" s="51">
        <f t="shared" si="9"/>
        <v>-30100</v>
      </c>
      <c r="H37" s="51">
        <f t="shared" si="9"/>
        <v>-57800</v>
      </c>
      <c r="I37" s="51">
        <f t="shared" si="9"/>
        <v>-87500</v>
      </c>
      <c r="J37" s="51">
        <f t="shared" si="9"/>
        <v>-6200</v>
      </c>
      <c r="K37" s="51">
        <f t="shared" si="9"/>
        <v>-63900</v>
      </c>
      <c r="L37" s="51">
        <f t="shared" si="9"/>
        <v>-20600</v>
      </c>
      <c r="M37" s="51">
        <f t="shared" si="9"/>
        <v>-93300</v>
      </c>
      <c r="N37" s="51">
        <f t="shared" si="9"/>
        <v>-50000</v>
      </c>
      <c r="O37" s="51">
        <f t="shared" si="9"/>
        <v>-48700</v>
      </c>
      <c r="P37" s="51">
        <f t="shared" si="7"/>
        <v>-599200</v>
      </c>
    </row>
    <row r="38" spans="1:16" ht="15" x14ac:dyDescent="0.25">
      <c r="A38" s="13"/>
      <c r="B38" s="50" t="s">
        <v>270</v>
      </c>
      <c r="C38" s="13"/>
      <c r="D38" s="51">
        <f t="shared" ref="D38:O38" si="10">D24+D37</f>
        <v>468500</v>
      </c>
      <c r="E38" s="51">
        <f t="shared" si="10"/>
        <v>922800</v>
      </c>
      <c r="F38" s="51">
        <f t="shared" si="10"/>
        <v>1013100</v>
      </c>
      <c r="G38" s="51">
        <f t="shared" si="10"/>
        <v>785400</v>
      </c>
      <c r="H38" s="51">
        <f t="shared" si="10"/>
        <v>1043700</v>
      </c>
      <c r="I38" s="51">
        <f t="shared" si="10"/>
        <v>671000</v>
      </c>
      <c r="J38" s="51">
        <f t="shared" si="10"/>
        <v>1025300</v>
      </c>
      <c r="K38" s="51">
        <f t="shared" si="10"/>
        <v>266600</v>
      </c>
      <c r="L38" s="51">
        <f t="shared" si="10"/>
        <v>850900</v>
      </c>
      <c r="M38" s="51">
        <f t="shared" si="10"/>
        <v>1294200</v>
      </c>
      <c r="N38" s="51">
        <f t="shared" si="10"/>
        <v>1062500</v>
      </c>
      <c r="O38" s="51">
        <f t="shared" si="10"/>
        <v>1088800</v>
      </c>
      <c r="P38" s="51">
        <f t="shared" si="7"/>
        <v>10492800</v>
      </c>
    </row>
    <row r="39" spans="1:16" ht="15" x14ac:dyDescent="0.25">
      <c r="A39" s="45" t="s">
        <v>271</v>
      </c>
      <c r="B39" s="34" t="s">
        <v>272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</row>
    <row r="40" spans="1:16" ht="15" x14ac:dyDescent="0.25">
      <c r="A40" s="39"/>
      <c r="B40" s="22" t="s">
        <v>273</v>
      </c>
      <c r="C40" s="46" t="s">
        <v>274</v>
      </c>
      <c r="D40" s="47">
        <f>IFERROR(SUMPRODUCT((LEFT(Balance!$A$6:$A$75,3)="751")*Balance!F$6:F$75),0)</f>
        <v>0</v>
      </c>
      <c r="E40" s="47">
        <f>IFERROR(SUMPRODUCT((LEFT(Balance!$A$6:$A$75,3)="751")*Balance!G$6:G$75),0)</f>
        <v>0</v>
      </c>
      <c r="F40" s="47">
        <f>IFERROR(SUMPRODUCT((LEFT(Balance!$A$6:$A$75,3)="751")*Balance!H$6:H$75),0)</f>
        <v>0</v>
      </c>
      <c r="G40" s="47">
        <f>IFERROR(SUMPRODUCT((LEFT(Balance!$A$6:$A$75,3)="751")*Balance!I$6:I$75),0)</f>
        <v>0</v>
      </c>
      <c r="H40" s="47">
        <f>IFERROR(SUMPRODUCT((LEFT(Balance!$A$6:$A$75,3)="751")*Balance!J$6:J$75),0)</f>
        <v>0</v>
      </c>
      <c r="I40" s="47">
        <f>IFERROR(SUMPRODUCT((LEFT(Balance!$A$6:$A$75,3)="751")*Balance!K$6:K$75),0)</f>
        <v>0</v>
      </c>
      <c r="J40" s="47">
        <f>IFERROR(SUMPRODUCT((LEFT(Balance!$A$6:$A$75,3)="751")*Balance!L$6:L$75),0)</f>
        <v>0</v>
      </c>
      <c r="K40" s="47">
        <f>IFERROR(SUMPRODUCT((LEFT(Balance!$A$6:$A$75,3)="751")*Balance!M$6:M$75),0)</f>
        <v>0</v>
      </c>
      <c r="L40" s="47">
        <f>IFERROR(SUMPRODUCT((LEFT(Balance!$A$6:$A$75,3)="751")*Balance!N$6:N$75),0)</f>
        <v>0</v>
      </c>
      <c r="M40" s="47">
        <f>IFERROR(SUMPRODUCT((LEFT(Balance!$A$6:$A$75,3)="751")*Balance!O$6:O$75),0)</f>
        <v>150000</v>
      </c>
      <c r="N40" s="47">
        <f>IFERROR(SUMPRODUCT((LEFT(Balance!$A$6:$A$75,3)="751")*Balance!P$6:P$75),0)</f>
        <v>0</v>
      </c>
      <c r="O40" s="47">
        <f>IFERROR(SUMPRODUCT((LEFT(Balance!$A$6:$A$75,3)="751")*Balance!Q$6:Q$75),0)</f>
        <v>0</v>
      </c>
      <c r="P40" s="38">
        <f t="shared" ref="P40:P45" si="11">SUM(D40:O40)</f>
        <v>150000</v>
      </c>
    </row>
    <row r="41" spans="1:16" ht="15" x14ac:dyDescent="0.25">
      <c r="A41" s="39"/>
      <c r="B41" s="22" t="s">
        <v>275</v>
      </c>
      <c r="C41" s="46" t="s">
        <v>276</v>
      </c>
      <c r="D41" s="47">
        <f>IFERROR(SUMPRODUCT((LEFT(Balance!$A$6:$A$75,3)="756")*Balance!F$6:F$75),0)</f>
        <v>0</v>
      </c>
      <c r="E41" s="47">
        <f>IFERROR(SUMPRODUCT((LEFT(Balance!$A$6:$A$75,3)="756")*Balance!G$6:G$75),0)</f>
        <v>0</v>
      </c>
      <c r="F41" s="47">
        <f>IFERROR(SUMPRODUCT((LEFT(Balance!$A$6:$A$75,3)="756")*Balance!H$6:H$75),0)</f>
        <v>0</v>
      </c>
      <c r="G41" s="47">
        <f>IFERROR(SUMPRODUCT((LEFT(Balance!$A$6:$A$75,3)="756")*Balance!I$6:I$75),0)</f>
        <v>0</v>
      </c>
      <c r="H41" s="47">
        <f>IFERROR(SUMPRODUCT((LEFT(Balance!$A$6:$A$75,3)="756")*Balance!J$6:J$75),0)</f>
        <v>0</v>
      </c>
      <c r="I41" s="47">
        <f>IFERROR(SUMPRODUCT((LEFT(Balance!$A$6:$A$75,3)="756")*Balance!K$6:K$75),0)</f>
        <v>0</v>
      </c>
      <c r="J41" s="47">
        <f>IFERROR(SUMPRODUCT((LEFT(Balance!$A$6:$A$75,3)="756")*Balance!L$6:L$75),0)</f>
        <v>0</v>
      </c>
      <c r="K41" s="47">
        <f>IFERROR(SUMPRODUCT((LEFT(Balance!$A$6:$A$75,3)="756")*Balance!M$6:M$75),0)</f>
        <v>0</v>
      </c>
      <c r="L41" s="47">
        <f>IFERROR(SUMPRODUCT((LEFT(Balance!$A$6:$A$75,3)="756")*Balance!N$6:N$75),0)</f>
        <v>0</v>
      </c>
      <c r="M41" s="47">
        <f>IFERROR(SUMPRODUCT((LEFT(Balance!$A$6:$A$75,3)="756")*Balance!O$6:O$75),0)</f>
        <v>0</v>
      </c>
      <c r="N41" s="47">
        <f>IFERROR(SUMPRODUCT((LEFT(Balance!$A$6:$A$75,3)="756")*Balance!P$6:P$75),0)</f>
        <v>0</v>
      </c>
      <c r="O41" s="47">
        <f>IFERROR(SUMPRODUCT((LEFT(Balance!$A$6:$A$75,3)="756")*Balance!Q$6:Q$75),0)</f>
        <v>0</v>
      </c>
      <c r="P41" s="38">
        <f t="shared" si="11"/>
        <v>0</v>
      </c>
    </row>
    <row r="42" spans="1:16" ht="15" x14ac:dyDescent="0.25">
      <c r="A42" s="39"/>
      <c r="B42" s="22" t="s">
        <v>277</v>
      </c>
      <c r="C42" s="46" t="s">
        <v>278</v>
      </c>
      <c r="D42" s="47">
        <f>IFERROR(SUMPRODUCT((LEFT(Balance!$A$6:$A$75,3)="757")*Balance!F$6:F$75),0)</f>
        <v>0</v>
      </c>
      <c r="E42" s="47">
        <f>IFERROR(SUMPRODUCT((LEFT(Balance!$A$6:$A$75,3)="757")*Balance!G$6:G$75),0)</f>
        <v>0</v>
      </c>
      <c r="F42" s="47">
        <f>IFERROR(SUMPRODUCT((LEFT(Balance!$A$6:$A$75,3)="757")*Balance!H$6:H$75),0)</f>
        <v>0</v>
      </c>
      <c r="G42" s="47">
        <f>IFERROR(SUMPRODUCT((LEFT(Balance!$A$6:$A$75,3)="757")*Balance!I$6:I$75),0)</f>
        <v>0</v>
      </c>
      <c r="H42" s="47">
        <f>IFERROR(SUMPRODUCT((LEFT(Balance!$A$6:$A$75,3)="757")*Balance!J$6:J$75),0)</f>
        <v>0</v>
      </c>
      <c r="I42" s="47">
        <f>IFERROR(SUMPRODUCT((LEFT(Balance!$A$6:$A$75,3)="757")*Balance!K$6:K$75),0)</f>
        <v>0</v>
      </c>
      <c r="J42" s="47">
        <f>IFERROR(SUMPRODUCT((LEFT(Balance!$A$6:$A$75,3)="757")*Balance!L$6:L$75),0)</f>
        <v>0</v>
      </c>
      <c r="K42" s="47">
        <f>IFERROR(SUMPRODUCT((LEFT(Balance!$A$6:$A$75,3)="757")*Balance!M$6:M$75),0)</f>
        <v>0</v>
      </c>
      <c r="L42" s="47">
        <f>IFERROR(SUMPRODUCT((LEFT(Balance!$A$6:$A$75,3)="757")*Balance!N$6:N$75),0)</f>
        <v>0</v>
      </c>
      <c r="M42" s="47">
        <f>IFERROR(SUMPRODUCT((LEFT(Balance!$A$6:$A$75,3)="757")*Balance!O$6:O$75),0)</f>
        <v>0</v>
      </c>
      <c r="N42" s="47">
        <f>IFERROR(SUMPRODUCT((LEFT(Balance!$A$6:$A$75,3)="757")*Balance!P$6:P$75),0)</f>
        <v>0</v>
      </c>
      <c r="O42" s="47">
        <f>IFERROR(SUMPRODUCT((LEFT(Balance!$A$6:$A$75,3)="757")*Balance!Q$6:Q$75),0)</f>
        <v>0</v>
      </c>
      <c r="P42" s="38">
        <f t="shared" si="11"/>
        <v>0</v>
      </c>
    </row>
    <row r="43" spans="1:16" ht="15" x14ac:dyDescent="0.25">
      <c r="A43" s="39"/>
      <c r="B43" s="22" t="s">
        <v>279</v>
      </c>
      <c r="C43" s="46" t="s">
        <v>280</v>
      </c>
      <c r="D43" s="47">
        <f>IFERROR(SUMPRODUCT((LEFT(Balance!$A$6:$A$75,3)="758")*Balance!F$6:F$75),0)</f>
        <v>0</v>
      </c>
      <c r="E43" s="47">
        <f>IFERROR(SUMPRODUCT((LEFT(Balance!$A$6:$A$75,3)="758")*Balance!G$6:G$75),0)</f>
        <v>0</v>
      </c>
      <c r="F43" s="47">
        <f>IFERROR(SUMPRODUCT((LEFT(Balance!$A$6:$A$75,3)="758")*Balance!H$6:H$75),0)</f>
        <v>0</v>
      </c>
      <c r="G43" s="47">
        <f>IFERROR(SUMPRODUCT((LEFT(Balance!$A$6:$A$75,3)="758")*Balance!I$6:I$75),0)</f>
        <v>0</v>
      </c>
      <c r="H43" s="47">
        <f>IFERROR(SUMPRODUCT((LEFT(Balance!$A$6:$A$75,3)="758")*Balance!J$6:J$75),0)</f>
        <v>0</v>
      </c>
      <c r="I43" s="47">
        <f>IFERROR(SUMPRODUCT((LEFT(Balance!$A$6:$A$75,3)="758")*Balance!K$6:K$75),0)</f>
        <v>0</v>
      </c>
      <c r="J43" s="47">
        <f>IFERROR(SUMPRODUCT((LEFT(Balance!$A$6:$A$75,3)="758")*Balance!L$6:L$75),0)</f>
        <v>0</v>
      </c>
      <c r="K43" s="47">
        <f>IFERROR(SUMPRODUCT((LEFT(Balance!$A$6:$A$75,3)="758")*Balance!M$6:M$75),0)</f>
        <v>0</v>
      </c>
      <c r="L43" s="47">
        <f>IFERROR(SUMPRODUCT((LEFT(Balance!$A$6:$A$75,3)="758")*Balance!N$6:N$75),0)</f>
        <v>0</v>
      </c>
      <c r="M43" s="47">
        <f>IFERROR(SUMPRODUCT((LEFT(Balance!$A$6:$A$75,3)="758")*Balance!O$6:O$75),0)</f>
        <v>0</v>
      </c>
      <c r="N43" s="47">
        <f>IFERROR(SUMPRODUCT((LEFT(Balance!$A$6:$A$75,3)="758")*Balance!P$6:P$75),0)</f>
        <v>0</v>
      </c>
      <c r="O43" s="47">
        <f>IFERROR(SUMPRODUCT((LEFT(Balance!$A$6:$A$75,3)="758")*Balance!Q$6:Q$75),0)</f>
        <v>0</v>
      </c>
      <c r="P43" s="38">
        <f t="shared" si="11"/>
        <v>0</v>
      </c>
    </row>
    <row r="44" spans="1:16" ht="15" x14ac:dyDescent="0.25">
      <c r="A44" s="39"/>
      <c r="B44" s="22" t="s">
        <v>281</v>
      </c>
      <c r="C44" s="46" t="s">
        <v>282</v>
      </c>
      <c r="D44" s="47">
        <f>IFERROR(SUMPRODUCT((LEFT(Balance!$A$6:$A$75,3)="759")*Balance!F$6:F$75),0)</f>
        <v>0</v>
      </c>
      <c r="E44" s="47">
        <f>IFERROR(SUMPRODUCT((LEFT(Balance!$A$6:$A$75,3)="759")*Balance!G$6:G$75),0)</f>
        <v>0</v>
      </c>
      <c r="F44" s="47">
        <f>IFERROR(SUMPRODUCT((LEFT(Balance!$A$6:$A$75,3)="759")*Balance!H$6:H$75),0)</f>
        <v>0</v>
      </c>
      <c r="G44" s="47">
        <f>IFERROR(SUMPRODUCT((LEFT(Balance!$A$6:$A$75,3)="759")*Balance!I$6:I$75),0)</f>
        <v>0</v>
      </c>
      <c r="H44" s="47">
        <f>IFERROR(SUMPRODUCT((LEFT(Balance!$A$6:$A$75,3)="759")*Balance!J$6:J$75),0)</f>
        <v>0</v>
      </c>
      <c r="I44" s="47">
        <f>IFERROR(SUMPRODUCT((LEFT(Balance!$A$6:$A$75,3)="759")*Balance!K$6:K$75),0)</f>
        <v>0</v>
      </c>
      <c r="J44" s="47">
        <f>IFERROR(SUMPRODUCT((LEFT(Balance!$A$6:$A$75,3)="759")*Balance!L$6:L$75),0)</f>
        <v>0</v>
      </c>
      <c r="K44" s="47">
        <f>IFERROR(SUMPRODUCT((LEFT(Balance!$A$6:$A$75,3)="759")*Balance!M$6:M$75),0)</f>
        <v>0</v>
      </c>
      <c r="L44" s="47">
        <f>IFERROR(SUMPRODUCT((LEFT(Balance!$A$6:$A$75,3)="759")*Balance!N$6:N$75),0)</f>
        <v>0</v>
      </c>
      <c r="M44" s="47">
        <f>IFERROR(SUMPRODUCT((LEFT(Balance!$A$6:$A$75,3)="759")*Balance!O$6:O$75),0)</f>
        <v>0</v>
      </c>
      <c r="N44" s="47">
        <f>IFERROR(SUMPRODUCT((LEFT(Balance!$A$6:$A$75,3)="759")*Balance!P$6:P$75),0)</f>
        <v>0</v>
      </c>
      <c r="O44" s="47">
        <f>IFERROR(SUMPRODUCT((LEFT(Balance!$A$6:$A$75,3)="759")*Balance!Q$6:Q$75),0)</f>
        <v>0</v>
      </c>
      <c r="P44" s="38">
        <f t="shared" si="11"/>
        <v>0</v>
      </c>
    </row>
    <row r="45" spans="1:16" ht="15" x14ac:dyDescent="0.25">
      <c r="A45" s="40"/>
      <c r="B45" s="49" t="s">
        <v>283</v>
      </c>
      <c r="C45" s="40"/>
      <c r="D45" s="42">
        <f t="shared" ref="D45:O45" si="12">D40+D41+D42+D43+D44</f>
        <v>0</v>
      </c>
      <c r="E45" s="42">
        <f t="shared" si="12"/>
        <v>0</v>
      </c>
      <c r="F45" s="42">
        <f t="shared" si="12"/>
        <v>0</v>
      </c>
      <c r="G45" s="42">
        <f t="shared" si="12"/>
        <v>0</v>
      </c>
      <c r="H45" s="42">
        <f t="shared" si="12"/>
        <v>0</v>
      </c>
      <c r="I45" s="42">
        <f t="shared" si="12"/>
        <v>0</v>
      </c>
      <c r="J45" s="42">
        <f t="shared" si="12"/>
        <v>0</v>
      </c>
      <c r="K45" s="42">
        <f t="shared" si="12"/>
        <v>0</v>
      </c>
      <c r="L45" s="42">
        <f t="shared" si="12"/>
        <v>0</v>
      </c>
      <c r="M45" s="42">
        <f t="shared" si="12"/>
        <v>150000</v>
      </c>
      <c r="N45" s="42">
        <f t="shared" si="12"/>
        <v>0</v>
      </c>
      <c r="O45" s="42">
        <f t="shared" si="12"/>
        <v>0</v>
      </c>
      <c r="P45" s="42">
        <f t="shared" si="11"/>
        <v>150000</v>
      </c>
    </row>
    <row r="46" spans="1:16" ht="15" x14ac:dyDescent="0.25">
      <c r="A46" s="45" t="s">
        <v>284</v>
      </c>
      <c r="B46" s="34" t="s">
        <v>285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</row>
    <row r="47" spans="1:16" ht="15" x14ac:dyDescent="0.25">
      <c r="A47" s="39"/>
      <c r="B47" s="22" t="s">
        <v>286</v>
      </c>
      <c r="C47" s="46" t="s">
        <v>287</v>
      </c>
      <c r="D47" s="47">
        <f>IFERROR(SUMPRODUCT((LEFT(Balance!$A$6:$A$75,3)="651")*Balance!F$6:F$75),0)</f>
        <v>0</v>
      </c>
      <c r="E47" s="47">
        <f>IFERROR(SUMPRODUCT((LEFT(Balance!$A$6:$A$75,3)="651")*Balance!G$6:G$75),0)</f>
        <v>0</v>
      </c>
      <c r="F47" s="47">
        <f>IFERROR(SUMPRODUCT((LEFT(Balance!$A$6:$A$75,3)="651")*Balance!H$6:H$75),0)</f>
        <v>0</v>
      </c>
      <c r="G47" s="47">
        <f>IFERROR(SUMPRODUCT((LEFT(Balance!$A$6:$A$75,3)="651")*Balance!I$6:I$75),0)</f>
        <v>0</v>
      </c>
      <c r="H47" s="47">
        <f>IFERROR(SUMPRODUCT((LEFT(Balance!$A$6:$A$75,3)="651")*Balance!J$6:J$75),0)</f>
        <v>0</v>
      </c>
      <c r="I47" s="47">
        <f>IFERROR(SUMPRODUCT((LEFT(Balance!$A$6:$A$75,3)="651")*Balance!K$6:K$75),0)</f>
        <v>0</v>
      </c>
      <c r="J47" s="47">
        <f>IFERROR(SUMPRODUCT((LEFT(Balance!$A$6:$A$75,3)="651")*Balance!L$6:L$75),0)</f>
        <v>0</v>
      </c>
      <c r="K47" s="47">
        <f>IFERROR(SUMPRODUCT((LEFT(Balance!$A$6:$A$75,3)="651")*Balance!M$6:M$75),0)</f>
        <v>0</v>
      </c>
      <c r="L47" s="47">
        <f>IFERROR(SUMPRODUCT((LEFT(Balance!$A$6:$A$75,3)="651")*Balance!N$6:N$75),0)</f>
        <v>0</v>
      </c>
      <c r="M47" s="47">
        <f>IFERROR(SUMPRODUCT((LEFT(Balance!$A$6:$A$75,3)="651")*Balance!O$6:O$75),0)</f>
        <v>110000</v>
      </c>
      <c r="N47" s="47">
        <f>IFERROR(SUMPRODUCT((LEFT(Balance!$A$6:$A$75,3)="651")*Balance!P$6:P$75),0)</f>
        <v>0</v>
      </c>
      <c r="O47" s="47">
        <f>IFERROR(SUMPRODUCT((LEFT(Balance!$A$6:$A$75,3)="651")*Balance!Q$6:Q$75),0)</f>
        <v>0</v>
      </c>
      <c r="P47" s="38">
        <f t="shared" ref="P47:P58" si="13">SUM(D47:O47)</f>
        <v>110000</v>
      </c>
    </row>
    <row r="48" spans="1:16" ht="15" x14ac:dyDescent="0.25">
      <c r="A48" s="39"/>
      <c r="B48" s="22" t="s">
        <v>288</v>
      </c>
      <c r="C48" s="46" t="s">
        <v>289</v>
      </c>
      <c r="D48" s="47">
        <f>IFERROR(SUMPRODUCT((LEFT(Balance!$A$6:$A$75,3)="656")*Balance!F$6:F$75),0)</f>
        <v>0</v>
      </c>
      <c r="E48" s="47">
        <f>IFERROR(SUMPRODUCT((LEFT(Balance!$A$6:$A$75,3)="656")*Balance!G$6:G$75),0)</f>
        <v>0</v>
      </c>
      <c r="F48" s="47">
        <f>IFERROR(SUMPRODUCT((LEFT(Balance!$A$6:$A$75,3)="656")*Balance!H$6:H$75),0)</f>
        <v>0</v>
      </c>
      <c r="G48" s="47">
        <f>IFERROR(SUMPRODUCT((LEFT(Balance!$A$6:$A$75,3)="656")*Balance!I$6:I$75),0)</f>
        <v>0</v>
      </c>
      <c r="H48" s="47">
        <f>IFERROR(SUMPRODUCT((LEFT(Balance!$A$6:$A$75,3)="656")*Balance!J$6:J$75),0)</f>
        <v>0</v>
      </c>
      <c r="I48" s="47">
        <f>IFERROR(SUMPRODUCT((LEFT(Balance!$A$6:$A$75,3)="656")*Balance!K$6:K$75),0)</f>
        <v>0</v>
      </c>
      <c r="J48" s="47">
        <f>IFERROR(SUMPRODUCT((LEFT(Balance!$A$6:$A$75,3)="656")*Balance!L$6:L$75),0)</f>
        <v>0</v>
      </c>
      <c r="K48" s="47">
        <f>IFERROR(SUMPRODUCT((LEFT(Balance!$A$6:$A$75,3)="656")*Balance!M$6:M$75),0)</f>
        <v>0</v>
      </c>
      <c r="L48" s="47">
        <f>IFERROR(SUMPRODUCT((LEFT(Balance!$A$6:$A$75,3)="656")*Balance!N$6:N$75),0)</f>
        <v>0</v>
      </c>
      <c r="M48" s="47">
        <f>IFERROR(SUMPRODUCT((LEFT(Balance!$A$6:$A$75,3)="656")*Balance!O$6:O$75),0)</f>
        <v>0</v>
      </c>
      <c r="N48" s="47">
        <f>IFERROR(SUMPRODUCT((LEFT(Balance!$A$6:$A$75,3)="656")*Balance!P$6:P$75),0)</f>
        <v>0</v>
      </c>
      <c r="O48" s="47">
        <f>IFERROR(SUMPRODUCT((LEFT(Balance!$A$6:$A$75,3)="656")*Balance!Q$6:Q$75),0)</f>
        <v>0</v>
      </c>
      <c r="P48" s="38">
        <f t="shared" si="13"/>
        <v>0</v>
      </c>
    </row>
    <row r="49" spans="1:16" ht="15" x14ac:dyDescent="0.25">
      <c r="A49" s="39"/>
      <c r="B49" s="22" t="s">
        <v>174</v>
      </c>
      <c r="C49" s="46" t="s">
        <v>290</v>
      </c>
      <c r="D49" s="47">
        <f>IFERROR(SUMPRODUCT((LEFT(Balance!$A$6:$A$75,3)="658")*Balance!F$6:F$75),0)</f>
        <v>0</v>
      </c>
      <c r="E49" s="47">
        <f>IFERROR(SUMPRODUCT((LEFT(Balance!$A$6:$A$75,3)="658")*Balance!G$6:G$75),0)</f>
        <v>0</v>
      </c>
      <c r="F49" s="47">
        <f>IFERROR(SUMPRODUCT((LEFT(Balance!$A$6:$A$75,3)="658")*Balance!H$6:H$75),0)</f>
        <v>20000</v>
      </c>
      <c r="G49" s="47">
        <f>IFERROR(SUMPRODUCT((LEFT(Balance!$A$6:$A$75,3)="658")*Balance!I$6:I$75),0)</f>
        <v>0</v>
      </c>
      <c r="H49" s="47">
        <f>IFERROR(SUMPRODUCT((LEFT(Balance!$A$6:$A$75,3)="658")*Balance!J$6:J$75),0)</f>
        <v>0</v>
      </c>
      <c r="I49" s="47">
        <f>IFERROR(SUMPRODUCT((LEFT(Balance!$A$6:$A$75,3)="658")*Balance!K$6:K$75),0)</f>
        <v>0</v>
      </c>
      <c r="J49" s="47">
        <f>IFERROR(SUMPRODUCT((LEFT(Balance!$A$6:$A$75,3)="658")*Balance!L$6:L$75),0)</f>
        <v>0</v>
      </c>
      <c r="K49" s="47">
        <f>IFERROR(SUMPRODUCT((LEFT(Balance!$A$6:$A$75,3)="658")*Balance!M$6:M$75),0)</f>
        <v>0</v>
      </c>
      <c r="L49" s="47">
        <f>IFERROR(SUMPRODUCT((LEFT(Balance!$A$6:$A$75,3)="658")*Balance!N$6:N$75),0)</f>
        <v>0</v>
      </c>
      <c r="M49" s="47">
        <f>IFERROR(SUMPRODUCT((LEFT(Balance!$A$6:$A$75,3)="658")*Balance!O$6:O$75),0)</f>
        <v>0</v>
      </c>
      <c r="N49" s="47">
        <f>IFERROR(SUMPRODUCT((LEFT(Balance!$A$6:$A$75,3)="658")*Balance!P$6:P$75),0)</f>
        <v>0</v>
      </c>
      <c r="O49" s="47">
        <f>IFERROR(SUMPRODUCT((LEFT(Balance!$A$6:$A$75,3)="658")*Balance!Q$6:Q$75),0)</f>
        <v>0</v>
      </c>
      <c r="P49" s="38">
        <f t="shared" si="13"/>
        <v>20000</v>
      </c>
    </row>
    <row r="50" spans="1:16" ht="15" x14ac:dyDescent="0.25">
      <c r="A50" s="39"/>
      <c r="B50" s="22" t="s">
        <v>291</v>
      </c>
      <c r="C50" s="46" t="s">
        <v>292</v>
      </c>
      <c r="D50" s="47">
        <f>IFERROR(SUMPRODUCT((LEFT(Balance!$A$6:$A$75,3)="659")*Balance!F$6:F$75),0)</f>
        <v>0</v>
      </c>
      <c r="E50" s="47">
        <f>IFERROR(SUMPRODUCT((LEFT(Balance!$A$6:$A$75,3)="659")*Balance!G$6:G$75),0)</f>
        <v>0</v>
      </c>
      <c r="F50" s="47">
        <f>IFERROR(SUMPRODUCT((LEFT(Balance!$A$6:$A$75,3)="659")*Balance!H$6:H$75),0)</f>
        <v>0</v>
      </c>
      <c r="G50" s="47">
        <f>IFERROR(SUMPRODUCT((LEFT(Balance!$A$6:$A$75,3)="659")*Balance!I$6:I$75),0)</f>
        <v>0</v>
      </c>
      <c r="H50" s="47">
        <f>IFERROR(SUMPRODUCT((LEFT(Balance!$A$6:$A$75,3)="659")*Balance!J$6:J$75),0)</f>
        <v>0</v>
      </c>
      <c r="I50" s="47">
        <f>IFERROR(SUMPRODUCT((LEFT(Balance!$A$6:$A$75,3)="659")*Balance!K$6:K$75),0)</f>
        <v>0</v>
      </c>
      <c r="J50" s="47">
        <f>IFERROR(SUMPRODUCT((LEFT(Balance!$A$6:$A$75,3)="659")*Balance!L$6:L$75),0)</f>
        <v>0</v>
      </c>
      <c r="K50" s="47">
        <f>IFERROR(SUMPRODUCT((LEFT(Balance!$A$6:$A$75,3)="659")*Balance!M$6:M$75),0)</f>
        <v>0</v>
      </c>
      <c r="L50" s="47">
        <f>IFERROR(SUMPRODUCT((LEFT(Balance!$A$6:$A$75,3)="659")*Balance!N$6:N$75),0)</f>
        <v>0</v>
      </c>
      <c r="M50" s="47">
        <f>IFERROR(SUMPRODUCT((LEFT(Balance!$A$6:$A$75,3)="659")*Balance!O$6:O$75),0)</f>
        <v>0</v>
      </c>
      <c r="N50" s="47">
        <f>IFERROR(SUMPRODUCT((LEFT(Balance!$A$6:$A$75,3)="659")*Balance!P$6:P$75),0)</f>
        <v>0</v>
      </c>
      <c r="O50" s="47">
        <f>IFERROR(SUMPRODUCT((LEFT(Balance!$A$6:$A$75,3)="659")*Balance!Q$6:Q$75),0)</f>
        <v>0</v>
      </c>
      <c r="P50" s="38">
        <f t="shared" si="13"/>
        <v>0</v>
      </c>
    </row>
    <row r="51" spans="1:16" ht="15" x14ac:dyDescent="0.25">
      <c r="A51" s="40"/>
      <c r="B51" s="49" t="s">
        <v>293</v>
      </c>
      <c r="C51" s="40"/>
      <c r="D51" s="42">
        <f t="shared" ref="D51:O51" si="14">D47+D48+D49+D50</f>
        <v>0</v>
      </c>
      <c r="E51" s="42">
        <f t="shared" si="14"/>
        <v>0</v>
      </c>
      <c r="F51" s="42">
        <f t="shared" si="14"/>
        <v>20000</v>
      </c>
      <c r="G51" s="42">
        <f t="shared" si="14"/>
        <v>0</v>
      </c>
      <c r="H51" s="42">
        <f t="shared" si="14"/>
        <v>0</v>
      </c>
      <c r="I51" s="42">
        <f t="shared" si="14"/>
        <v>0</v>
      </c>
      <c r="J51" s="42">
        <f t="shared" si="14"/>
        <v>0</v>
      </c>
      <c r="K51" s="42">
        <f t="shared" si="14"/>
        <v>0</v>
      </c>
      <c r="L51" s="42">
        <f t="shared" si="14"/>
        <v>0</v>
      </c>
      <c r="M51" s="42">
        <f t="shared" si="14"/>
        <v>110000</v>
      </c>
      <c r="N51" s="42">
        <f t="shared" si="14"/>
        <v>0</v>
      </c>
      <c r="O51" s="42">
        <f t="shared" si="14"/>
        <v>0</v>
      </c>
      <c r="P51" s="42">
        <f t="shared" si="13"/>
        <v>130000</v>
      </c>
    </row>
    <row r="52" spans="1:16" ht="15" x14ac:dyDescent="0.25">
      <c r="A52" s="13"/>
      <c r="B52" s="50" t="s">
        <v>294</v>
      </c>
      <c r="C52" s="13"/>
      <c r="D52" s="51">
        <f t="shared" ref="D52:O52" si="15">D45-D51</f>
        <v>0</v>
      </c>
      <c r="E52" s="51">
        <f t="shared" si="15"/>
        <v>0</v>
      </c>
      <c r="F52" s="51">
        <f t="shared" si="15"/>
        <v>-20000</v>
      </c>
      <c r="G52" s="51">
        <f t="shared" si="15"/>
        <v>0</v>
      </c>
      <c r="H52" s="51">
        <f t="shared" si="15"/>
        <v>0</v>
      </c>
      <c r="I52" s="51">
        <f t="shared" si="15"/>
        <v>0</v>
      </c>
      <c r="J52" s="51">
        <f t="shared" si="15"/>
        <v>0</v>
      </c>
      <c r="K52" s="51">
        <f t="shared" si="15"/>
        <v>0</v>
      </c>
      <c r="L52" s="51">
        <f t="shared" si="15"/>
        <v>0</v>
      </c>
      <c r="M52" s="51">
        <f t="shared" si="15"/>
        <v>40000</v>
      </c>
      <c r="N52" s="51">
        <f t="shared" si="15"/>
        <v>0</v>
      </c>
      <c r="O52" s="51">
        <f t="shared" si="15"/>
        <v>0</v>
      </c>
      <c r="P52" s="51">
        <f t="shared" si="13"/>
        <v>20000</v>
      </c>
    </row>
    <row r="53" spans="1:16" ht="15" x14ac:dyDescent="0.25">
      <c r="A53" s="13"/>
      <c r="B53" s="50" t="s">
        <v>295</v>
      </c>
      <c r="C53" s="13"/>
      <c r="D53" s="51">
        <f t="shared" ref="D53:O53" si="16">D38+D52</f>
        <v>468500</v>
      </c>
      <c r="E53" s="51">
        <f t="shared" si="16"/>
        <v>922800</v>
      </c>
      <c r="F53" s="51">
        <f t="shared" si="16"/>
        <v>993100</v>
      </c>
      <c r="G53" s="51">
        <f t="shared" si="16"/>
        <v>785400</v>
      </c>
      <c r="H53" s="51">
        <f t="shared" si="16"/>
        <v>1043700</v>
      </c>
      <c r="I53" s="51">
        <f t="shared" si="16"/>
        <v>671000</v>
      </c>
      <c r="J53" s="51">
        <f t="shared" si="16"/>
        <v>1025300</v>
      </c>
      <c r="K53" s="51">
        <f t="shared" si="16"/>
        <v>266600</v>
      </c>
      <c r="L53" s="51">
        <f t="shared" si="16"/>
        <v>850900</v>
      </c>
      <c r="M53" s="51">
        <f t="shared" si="16"/>
        <v>1334200</v>
      </c>
      <c r="N53" s="51">
        <f t="shared" si="16"/>
        <v>1062500</v>
      </c>
      <c r="O53" s="51">
        <f t="shared" si="16"/>
        <v>1088800</v>
      </c>
      <c r="P53" s="51">
        <f t="shared" si="13"/>
        <v>10512800</v>
      </c>
    </row>
    <row r="54" spans="1:16" ht="15" x14ac:dyDescent="0.25">
      <c r="A54" s="39"/>
      <c r="B54" s="22" t="s">
        <v>296</v>
      </c>
      <c r="C54" s="46" t="s">
        <v>297</v>
      </c>
      <c r="D54" s="47">
        <f>IFERROR(SUMPRODUCT((LEFT(Balance!$A$6:$A$75,3)="670")*Balance!F$6:F$75),0)</f>
        <v>93700</v>
      </c>
      <c r="E54" s="47">
        <f>IFERROR(SUMPRODUCT((LEFT(Balance!$A$6:$A$75,3)="670")*Balance!G$6:G$75),0)</f>
        <v>184600</v>
      </c>
      <c r="F54" s="47">
        <f>IFERROR(SUMPRODUCT((LEFT(Balance!$A$6:$A$75,3)="670")*Balance!H$6:H$75),0)</f>
        <v>198600</v>
      </c>
      <c r="G54" s="47">
        <f>IFERROR(SUMPRODUCT((LEFT(Balance!$A$6:$A$75,3)="670")*Balance!I$6:I$75),0)</f>
        <v>157100</v>
      </c>
      <c r="H54" s="47">
        <f>IFERROR(SUMPRODUCT((LEFT(Balance!$A$6:$A$75,3)="670")*Balance!J$6:J$75),0)</f>
        <v>208700</v>
      </c>
      <c r="I54" s="47">
        <f>IFERROR(SUMPRODUCT((LEFT(Balance!$A$6:$A$75,3)="670")*Balance!K$6:K$75),0)</f>
        <v>134200</v>
      </c>
      <c r="J54" s="47">
        <f>IFERROR(SUMPRODUCT((LEFT(Balance!$A$6:$A$75,3)="670")*Balance!L$6:L$75),0)</f>
        <v>205100</v>
      </c>
      <c r="K54" s="47">
        <f>IFERROR(SUMPRODUCT((LEFT(Balance!$A$6:$A$75,3)="670")*Balance!M$6:M$75),0)</f>
        <v>53300</v>
      </c>
      <c r="L54" s="47">
        <f>IFERROR(SUMPRODUCT((LEFT(Balance!$A$6:$A$75,3)="670")*Balance!N$6:N$75),0)</f>
        <v>170200</v>
      </c>
      <c r="M54" s="47">
        <f>IFERROR(SUMPRODUCT((LEFT(Balance!$A$6:$A$75,3)="670")*Balance!O$6:O$75),0)</f>
        <v>266800</v>
      </c>
      <c r="N54" s="47">
        <f>IFERROR(SUMPRODUCT((LEFT(Balance!$A$6:$A$75,3)="670")*Balance!P$6:P$75),0)</f>
        <v>212500</v>
      </c>
      <c r="O54" s="47">
        <f>IFERROR(SUMPRODUCT((LEFT(Balance!$A$6:$A$75,3)="670")*Balance!Q$6:Q$75),0)</f>
        <v>217800</v>
      </c>
      <c r="P54" s="38">
        <f t="shared" si="13"/>
        <v>2102600</v>
      </c>
    </row>
    <row r="55" spans="1:16" ht="15" x14ac:dyDescent="0.25">
      <c r="A55" s="13"/>
      <c r="B55" s="50" t="s">
        <v>298</v>
      </c>
      <c r="C55" s="13"/>
      <c r="D55" s="51">
        <f t="shared" ref="D55:O55" si="17">D53-D54</f>
        <v>374800</v>
      </c>
      <c r="E55" s="51">
        <f t="shared" si="17"/>
        <v>738200</v>
      </c>
      <c r="F55" s="51">
        <f t="shared" si="17"/>
        <v>794500</v>
      </c>
      <c r="G55" s="51">
        <f t="shared" si="17"/>
        <v>628300</v>
      </c>
      <c r="H55" s="51">
        <f t="shared" si="17"/>
        <v>835000</v>
      </c>
      <c r="I55" s="51">
        <f t="shared" si="17"/>
        <v>536800</v>
      </c>
      <c r="J55" s="51">
        <f t="shared" si="17"/>
        <v>820200</v>
      </c>
      <c r="K55" s="51">
        <f t="shared" si="17"/>
        <v>213300</v>
      </c>
      <c r="L55" s="51">
        <f t="shared" si="17"/>
        <v>680700</v>
      </c>
      <c r="M55" s="51">
        <f t="shared" si="17"/>
        <v>1067400</v>
      </c>
      <c r="N55" s="51">
        <f t="shared" si="17"/>
        <v>850000</v>
      </c>
      <c r="O55" s="51">
        <f t="shared" si="17"/>
        <v>871000</v>
      </c>
      <c r="P55" s="51">
        <f t="shared" si="13"/>
        <v>8410200</v>
      </c>
    </row>
    <row r="56" spans="1:16" ht="15" x14ac:dyDescent="0.25">
      <c r="A56" s="40"/>
      <c r="B56" s="49" t="s">
        <v>299</v>
      </c>
      <c r="C56" s="40"/>
      <c r="D56" s="42">
        <f t="shared" ref="D56:O56" si="18">D14+D30+D45</f>
        <v>6478000</v>
      </c>
      <c r="E56" s="42">
        <f t="shared" si="18"/>
        <v>7390000</v>
      </c>
      <c r="F56" s="42">
        <f t="shared" si="18"/>
        <v>7651000</v>
      </c>
      <c r="G56" s="42">
        <f t="shared" si="18"/>
        <v>7141000</v>
      </c>
      <c r="H56" s="42">
        <f t="shared" si="18"/>
        <v>7947000</v>
      </c>
      <c r="I56" s="42">
        <f t="shared" si="18"/>
        <v>8075000</v>
      </c>
      <c r="J56" s="42">
        <f t="shared" si="18"/>
        <v>7685000</v>
      </c>
      <c r="K56" s="42">
        <f t="shared" si="18"/>
        <v>6154000</v>
      </c>
      <c r="L56" s="42">
        <f t="shared" si="18"/>
        <v>7380000</v>
      </c>
      <c r="M56" s="42">
        <f t="shared" si="18"/>
        <v>8574000</v>
      </c>
      <c r="N56" s="42">
        <f t="shared" si="18"/>
        <v>7885000</v>
      </c>
      <c r="O56" s="42">
        <f t="shared" si="18"/>
        <v>8494000</v>
      </c>
      <c r="P56" s="42">
        <f t="shared" si="13"/>
        <v>90854000</v>
      </c>
    </row>
    <row r="57" spans="1:16" ht="15" x14ac:dyDescent="0.25">
      <c r="A57" s="40"/>
      <c r="B57" s="49" t="s">
        <v>300</v>
      </c>
      <c r="C57" s="40"/>
      <c r="D57" s="42">
        <f t="shared" ref="D57:O57" si="19">D23+D36+D51+D54</f>
        <v>6103200</v>
      </c>
      <c r="E57" s="42">
        <f t="shared" si="19"/>
        <v>6651800</v>
      </c>
      <c r="F57" s="42">
        <f t="shared" si="19"/>
        <v>6856500</v>
      </c>
      <c r="G57" s="42">
        <f t="shared" si="19"/>
        <v>6512700</v>
      </c>
      <c r="H57" s="42">
        <f t="shared" si="19"/>
        <v>7112000</v>
      </c>
      <c r="I57" s="42">
        <f t="shared" si="19"/>
        <v>7538200</v>
      </c>
      <c r="J57" s="42">
        <f t="shared" si="19"/>
        <v>6864800</v>
      </c>
      <c r="K57" s="42">
        <f t="shared" si="19"/>
        <v>5940700</v>
      </c>
      <c r="L57" s="42">
        <f t="shared" si="19"/>
        <v>6699300</v>
      </c>
      <c r="M57" s="42">
        <f t="shared" si="19"/>
        <v>7506600</v>
      </c>
      <c r="N57" s="42">
        <f t="shared" si="19"/>
        <v>7035000</v>
      </c>
      <c r="O57" s="42">
        <f t="shared" si="19"/>
        <v>7623000</v>
      </c>
      <c r="P57" s="42">
        <f t="shared" si="13"/>
        <v>82443800</v>
      </c>
    </row>
    <row r="58" spans="1:16" ht="15" x14ac:dyDescent="0.25">
      <c r="A58" s="13"/>
      <c r="B58" s="50" t="s">
        <v>301</v>
      </c>
      <c r="C58" s="13"/>
      <c r="D58" s="51">
        <f t="shared" ref="D58:O58" si="20">D56-D57</f>
        <v>374800</v>
      </c>
      <c r="E58" s="51">
        <f t="shared" si="20"/>
        <v>738200</v>
      </c>
      <c r="F58" s="51">
        <f t="shared" si="20"/>
        <v>794500</v>
      </c>
      <c r="G58" s="51">
        <f t="shared" si="20"/>
        <v>628300</v>
      </c>
      <c r="H58" s="51">
        <f t="shared" si="20"/>
        <v>835000</v>
      </c>
      <c r="I58" s="51">
        <f t="shared" si="20"/>
        <v>536800</v>
      </c>
      <c r="J58" s="51">
        <f t="shared" si="20"/>
        <v>820200</v>
      </c>
      <c r="K58" s="51">
        <f t="shared" si="20"/>
        <v>213300</v>
      </c>
      <c r="L58" s="51">
        <f t="shared" si="20"/>
        <v>680700</v>
      </c>
      <c r="M58" s="51">
        <f t="shared" si="20"/>
        <v>1067400</v>
      </c>
      <c r="N58" s="51">
        <f t="shared" si="20"/>
        <v>850000</v>
      </c>
      <c r="O58" s="51">
        <f t="shared" si="20"/>
        <v>871000</v>
      </c>
      <c r="P58" s="51">
        <f t="shared" si="13"/>
        <v>8410200</v>
      </c>
    </row>
    <row r="60" spans="1:16" x14ac:dyDescent="0.2">
      <c r="B60" s="52" t="s">
        <v>302</v>
      </c>
      <c r="D60" s="53">
        <f t="shared" ref="D60:P60" si="21">D55-D58</f>
        <v>0</v>
      </c>
      <c r="E60" s="53">
        <f t="shared" si="21"/>
        <v>0</v>
      </c>
      <c r="F60" s="53">
        <f t="shared" si="21"/>
        <v>0</v>
      </c>
      <c r="G60" s="53">
        <f t="shared" si="21"/>
        <v>0</v>
      </c>
      <c r="H60" s="53">
        <f t="shared" si="21"/>
        <v>0</v>
      </c>
      <c r="I60" s="53">
        <f t="shared" si="21"/>
        <v>0</v>
      </c>
      <c r="J60" s="53">
        <f t="shared" si="21"/>
        <v>0</v>
      </c>
      <c r="K60" s="53">
        <f t="shared" si="21"/>
        <v>0</v>
      </c>
      <c r="L60" s="53">
        <f t="shared" si="21"/>
        <v>0</v>
      </c>
      <c r="M60" s="53">
        <f t="shared" si="21"/>
        <v>0</v>
      </c>
      <c r="N60" s="53">
        <f t="shared" si="21"/>
        <v>0</v>
      </c>
      <c r="O60" s="53">
        <f t="shared" si="21"/>
        <v>0</v>
      </c>
      <c r="P60" s="53">
        <f t="shared" si="21"/>
        <v>0</v>
      </c>
    </row>
  </sheetData>
  <hyperlinks>
    <hyperlink ref="P1" location="Accueil!A1" display="⌂ Accueil" xr:uid="{00000000-0004-0000-0200-000000000000}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9A54C"/>
    <pageSetUpPr fitToPage="1"/>
  </sheetPr>
  <dimension ref="A1:P43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8" sqref="D8"/>
    </sheetView>
  </sheetViews>
  <sheetFormatPr baseColWidth="10" defaultColWidth="8.7109375" defaultRowHeight="12.75" x14ac:dyDescent="0.2"/>
  <cols>
    <col min="1" max="1" width="6" customWidth="1"/>
    <col min="2" max="2" width="62" customWidth="1"/>
    <col min="3" max="3" width="9" customWidth="1"/>
    <col min="4" max="15" width="12.42578125" customWidth="1"/>
    <col min="16" max="16" width="15" customWidth="1"/>
  </cols>
  <sheetData>
    <row r="1" spans="1:16" ht="30" customHeight="1" x14ac:dyDescent="0.25">
      <c r="A1" s="27" t="s">
        <v>303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28" t="s">
        <v>46</v>
      </c>
    </row>
    <row r="2" spans="1:16" ht="15" x14ac:dyDescent="0.25">
      <c r="A2" s="29" t="s">
        <v>304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4" spans="1:16" ht="27.75" customHeight="1" x14ac:dyDescent="0.2">
      <c r="A4" s="32" t="s">
        <v>207</v>
      </c>
      <c r="B4" s="32" t="s">
        <v>208</v>
      </c>
      <c r="C4" s="32" t="s">
        <v>305</v>
      </c>
      <c r="D4" s="32" t="s">
        <v>55</v>
      </c>
      <c r="E4" s="32" t="s">
        <v>56</v>
      </c>
      <c r="F4" s="32" t="s">
        <v>57</v>
      </c>
      <c r="G4" s="32" t="s">
        <v>58</v>
      </c>
      <c r="H4" s="32" t="s">
        <v>59</v>
      </c>
      <c r="I4" s="32" t="s">
        <v>60</v>
      </c>
      <c r="J4" s="32" t="s">
        <v>61</v>
      </c>
      <c r="K4" s="32" t="s">
        <v>62</v>
      </c>
      <c r="L4" s="32" t="s">
        <v>63</v>
      </c>
      <c r="M4" s="32" t="s">
        <v>64</v>
      </c>
      <c r="N4" s="32" t="s">
        <v>65</v>
      </c>
      <c r="O4" s="32" t="s">
        <v>42</v>
      </c>
      <c r="P4" s="32" t="s">
        <v>210</v>
      </c>
    </row>
    <row r="5" spans="1:16" ht="15" x14ac:dyDescent="0.25">
      <c r="A5" s="45" t="s">
        <v>306</v>
      </c>
      <c r="B5" s="34" t="s">
        <v>307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1:16" ht="15" x14ac:dyDescent="0.25">
      <c r="A6" s="39"/>
      <c r="B6" s="22" t="s">
        <v>308</v>
      </c>
      <c r="C6" s="46" t="s">
        <v>309</v>
      </c>
      <c r="D6" s="47">
        <f>CPC!D6</f>
        <v>127000</v>
      </c>
      <c r="E6" s="47">
        <f>CPC!E6</f>
        <v>135000</v>
      </c>
      <c r="F6" s="47">
        <f>CPC!F6</f>
        <v>148000</v>
      </c>
      <c r="G6" s="47">
        <f>CPC!G6</f>
        <v>140000</v>
      </c>
      <c r="H6" s="47">
        <f>CPC!H6</f>
        <v>147000</v>
      </c>
      <c r="I6" s="47">
        <f>CPC!I6</f>
        <v>153000</v>
      </c>
      <c r="J6" s="47">
        <f>CPC!J6</f>
        <v>145000</v>
      </c>
      <c r="K6" s="47">
        <f>CPC!K6</f>
        <v>117000</v>
      </c>
      <c r="L6" s="47">
        <f>CPC!L6</f>
        <v>144000</v>
      </c>
      <c r="M6" s="47">
        <f>CPC!M6</f>
        <v>155000</v>
      </c>
      <c r="N6" s="47">
        <f>CPC!N6</f>
        <v>154000</v>
      </c>
      <c r="O6" s="47">
        <f>CPC!O6</f>
        <v>161000</v>
      </c>
      <c r="P6" s="38">
        <f t="shared" ref="P6:P30" si="0">SUM(D6:O6)</f>
        <v>1726000</v>
      </c>
    </row>
    <row r="7" spans="1:16" ht="15" x14ac:dyDescent="0.25">
      <c r="A7" s="39"/>
      <c r="B7" s="22" t="s">
        <v>310</v>
      </c>
      <c r="C7" s="46" t="s">
        <v>309</v>
      </c>
      <c r="D7" s="47">
        <f>CPC!D16</f>
        <v>94000</v>
      </c>
      <c r="E7" s="47">
        <f>CPC!E16</f>
        <v>100000</v>
      </c>
      <c r="F7" s="47">
        <f>CPC!F16</f>
        <v>110000</v>
      </c>
      <c r="G7" s="47">
        <f>CPC!G16</f>
        <v>104000</v>
      </c>
      <c r="H7" s="47">
        <f>CPC!H16</f>
        <v>109000</v>
      </c>
      <c r="I7" s="47">
        <f>CPC!I16</f>
        <v>113000</v>
      </c>
      <c r="J7" s="47">
        <f>CPC!J16</f>
        <v>107000</v>
      </c>
      <c r="K7" s="47">
        <f>CPC!K16</f>
        <v>87000</v>
      </c>
      <c r="L7" s="47">
        <f>CPC!L16</f>
        <v>107000</v>
      </c>
      <c r="M7" s="47">
        <f>CPC!M16</f>
        <v>115000</v>
      </c>
      <c r="N7" s="47">
        <f>CPC!N16</f>
        <v>114000</v>
      </c>
      <c r="O7" s="47">
        <f>CPC!O16</f>
        <v>119000</v>
      </c>
      <c r="P7" s="38">
        <f t="shared" si="0"/>
        <v>1279000</v>
      </c>
    </row>
    <row r="8" spans="1:16" ht="15" x14ac:dyDescent="0.25">
      <c r="A8" s="40"/>
      <c r="B8" s="49" t="s">
        <v>311</v>
      </c>
      <c r="C8" s="40"/>
      <c r="D8" s="42">
        <f t="shared" ref="D8:O8" si="1">D6-D7</f>
        <v>33000</v>
      </c>
      <c r="E8" s="42">
        <f t="shared" si="1"/>
        <v>35000</v>
      </c>
      <c r="F8" s="42">
        <f t="shared" si="1"/>
        <v>38000</v>
      </c>
      <c r="G8" s="42">
        <f t="shared" si="1"/>
        <v>36000</v>
      </c>
      <c r="H8" s="42">
        <f t="shared" si="1"/>
        <v>38000</v>
      </c>
      <c r="I8" s="42">
        <f t="shared" si="1"/>
        <v>40000</v>
      </c>
      <c r="J8" s="42">
        <f t="shared" si="1"/>
        <v>38000</v>
      </c>
      <c r="K8" s="42">
        <f t="shared" si="1"/>
        <v>30000</v>
      </c>
      <c r="L8" s="42">
        <f t="shared" si="1"/>
        <v>37000</v>
      </c>
      <c r="M8" s="42">
        <f t="shared" si="1"/>
        <v>40000</v>
      </c>
      <c r="N8" s="42">
        <f t="shared" si="1"/>
        <v>40000</v>
      </c>
      <c r="O8" s="42">
        <f t="shared" si="1"/>
        <v>42000</v>
      </c>
      <c r="P8" s="42">
        <f t="shared" si="0"/>
        <v>447000</v>
      </c>
    </row>
    <row r="9" spans="1:16" ht="15" x14ac:dyDescent="0.25">
      <c r="A9" s="39"/>
      <c r="B9" s="22" t="s">
        <v>312</v>
      </c>
      <c r="C9" s="46" t="s">
        <v>309</v>
      </c>
      <c r="D9" s="47">
        <f>CPC!D7</f>
        <v>6333000</v>
      </c>
      <c r="E9" s="47">
        <f>CPC!E7</f>
        <v>6727000</v>
      </c>
      <c r="F9" s="47">
        <f>CPC!F7</f>
        <v>7382000</v>
      </c>
      <c r="G9" s="47">
        <f>CPC!G7</f>
        <v>6999000</v>
      </c>
      <c r="H9" s="47">
        <f>CPC!H7</f>
        <v>7359000</v>
      </c>
      <c r="I9" s="47">
        <f>CPC!I7</f>
        <v>7651000</v>
      </c>
      <c r="J9" s="47">
        <f>CPC!J7</f>
        <v>7233000</v>
      </c>
      <c r="K9" s="47">
        <f>CPC!K7</f>
        <v>5851000</v>
      </c>
      <c r="L9" s="47">
        <f>CPC!L7</f>
        <v>7203000</v>
      </c>
      <c r="M9" s="47">
        <f>CPC!M7</f>
        <v>7739000</v>
      </c>
      <c r="N9" s="47">
        <f>CPC!N7</f>
        <v>7713000</v>
      </c>
      <c r="O9" s="47">
        <f>CPC!O7</f>
        <v>8059000</v>
      </c>
      <c r="P9" s="38">
        <f t="shared" si="0"/>
        <v>86249000</v>
      </c>
    </row>
    <row r="10" spans="1:16" ht="15" x14ac:dyDescent="0.25">
      <c r="A10" s="39"/>
      <c r="B10" s="22" t="s">
        <v>313</v>
      </c>
      <c r="C10" s="46" t="s">
        <v>309</v>
      </c>
      <c r="D10" s="47">
        <f>CPC!D9</f>
        <v>-99000</v>
      </c>
      <c r="E10" s="47">
        <f>CPC!E9</f>
        <v>347000</v>
      </c>
      <c r="F10" s="47">
        <f>CPC!F9</f>
        <v>-179000</v>
      </c>
      <c r="G10" s="47">
        <f>CPC!G9</f>
        <v>-154000</v>
      </c>
      <c r="H10" s="47">
        <f>CPC!H9</f>
        <v>306000</v>
      </c>
      <c r="I10" s="47">
        <f>CPC!I9</f>
        <v>135000</v>
      </c>
      <c r="J10" s="47">
        <f>CPC!J9</f>
        <v>132000</v>
      </c>
      <c r="K10" s="47">
        <f>CPC!K9</f>
        <v>63000</v>
      </c>
      <c r="L10" s="47">
        <f>CPC!L9</f>
        <v>-230000</v>
      </c>
      <c r="M10" s="47">
        <f>CPC!M9</f>
        <v>414000</v>
      </c>
      <c r="N10" s="47">
        <f>CPC!N9</f>
        <v>-121000</v>
      </c>
      <c r="O10" s="47">
        <f>CPC!O9</f>
        <v>64000</v>
      </c>
      <c r="P10" s="38">
        <f t="shared" si="0"/>
        <v>678000</v>
      </c>
    </row>
    <row r="11" spans="1:16" ht="15" x14ac:dyDescent="0.25">
      <c r="A11" s="39"/>
      <c r="B11" s="22" t="s">
        <v>314</v>
      </c>
      <c r="C11" s="46" t="s">
        <v>309</v>
      </c>
      <c r="D11" s="47">
        <f>CPC!D10</f>
        <v>0</v>
      </c>
      <c r="E11" s="47">
        <f>CPC!E10</f>
        <v>0</v>
      </c>
      <c r="F11" s="47">
        <f>CPC!F10</f>
        <v>120000</v>
      </c>
      <c r="G11" s="47">
        <f>CPC!G10</f>
        <v>0</v>
      </c>
      <c r="H11" s="47">
        <f>CPC!H10</f>
        <v>0</v>
      </c>
      <c r="I11" s="47">
        <f>CPC!I10</f>
        <v>0</v>
      </c>
      <c r="J11" s="47">
        <f>CPC!J10</f>
        <v>0</v>
      </c>
      <c r="K11" s="47">
        <f>CPC!K10</f>
        <v>0</v>
      </c>
      <c r="L11" s="47">
        <f>CPC!L10</f>
        <v>95000</v>
      </c>
      <c r="M11" s="47">
        <f>CPC!M10</f>
        <v>0</v>
      </c>
      <c r="N11" s="47">
        <f>CPC!N10</f>
        <v>0</v>
      </c>
      <c r="O11" s="47">
        <f>CPC!O10</f>
        <v>0</v>
      </c>
      <c r="P11" s="38">
        <f t="shared" si="0"/>
        <v>215000</v>
      </c>
    </row>
    <row r="12" spans="1:16" ht="15" x14ac:dyDescent="0.25">
      <c r="A12" s="40"/>
      <c r="B12" s="49" t="s">
        <v>315</v>
      </c>
      <c r="C12" s="40"/>
      <c r="D12" s="42">
        <f t="shared" ref="D12:O12" si="2">D9+D10+D11</f>
        <v>6234000</v>
      </c>
      <c r="E12" s="42">
        <f t="shared" si="2"/>
        <v>7074000</v>
      </c>
      <c r="F12" s="42">
        <f t="shared" si="2"/>
        <v>7323000</v>
      </c>
      <c r="G12" s="42">
        <f t="shared" si="2"/>
        <v>6845000</v>
      </c>
      <c r="H12" s="42">
        <f t="shared" si="2"/>
        <v>7665000</v>
      </c>
      <c r="I12" s="42">
        <f t="shared" si="2"/>
        <v>7786000</v>
      </c>
      <c r="J12" s="42">
        <f t="shared" si="2"/>
        <v>7365000</v>
      </c>
      <c r="K12" s="42">
        <f t="shared" si="2"/>
        <v>5914000</v>
      </c>
      <c r="L12" s="42">
        <f t="shared" si="2"/>
        <v>7068000</v>
      </c>
      <c r="M12" s="42">
        <f t="shared" si="2"/>
        <v>8153000</v>
      </c>
      <c r="N12" s="42">
        <f t="shared" si="2"/>
        <v>7592000</v>
      </c>
      <c r="O12" s="42">
        <f t="shared" si="2"/>
        <v>8123000</v>
      </c>
      <c r="P12" s="42">
        <f t="shared" si="0"/>
        <v>87142000</v>
      </c>
    </row>
    <row r="13" spans="1:16" ht="15" x14ac:dyDescent="0.25">
      <c r="A13" s="39"/>
      <c r="B13" s="22" t="s">
        <v>316</v>
      </c>
      <c r="C13" s="46" t="s">
        <v>309</v>
      </c>
      <c r="D13" s="47">
        <f>CPC!D17</f>
        <v>3086000</v>
      </c>
      <c r="E13" s="47">
        <f>CPC!E17</f>
        <v>3502000</v>
      </c>
      <c r="F13" s="47">
        <f>CPC!F17</f>
        <v>3625000</v>
      </c>
      <c r="G13" s="47">
        <f>CPC!G17</f>
        <v>3388000</v>
      </c>
      <c r="H13" s="47">
        <f>CPC!H17</f>
        <v>3794000</v>
      </c>
      <c r="I13" s="47">
        <f>CPC!I17</f>
        <v>3855000</v>
      </c>
      <c r="J13" s="47">
        <f>CPC!J17</f>
        <v>3646000</v>
      </c>
      <c r="K13" s="47">
        <f>CPC!K17</f>
        <v>2927000</v>
      </c>
      <c r="L13" s="47">
        <f>CPC!L17</f>
        <v>3498000</v>
      </c>
      <c r="M13" s="47">
        <f>CPC!M17</f>
        <v>4036000</v>
      </c>
      <c r="N13" s="47">
        <f>CPC!N17</f>
        <v>3759000</v>
      </c>
      <c r="O13" s="47">
        <f>CPC!O17</f>
        <v>4021000</v>
      </c>
      <c r="P13" s="38">
        <f t="shared" si="0"/>
        <v>43137000</v>
      </c>
    </row>
    <row r="14" spans="1:16" ht="15" x14ac:dyDescent="0.25">
      <c r="A14" s="39"/>
      <c r="B14" s="22" t="s">
        <v>317</v>
      </c>
      <c r="C14" s="46" t="s">
        <v>309</v>
      </c>
      <c r="D14" s="47">
        <f>CPC!D18</f>
        <v>422000</v>
      </c>
      <c r="E14" s="47">
        <f>CPC!E18</f>
        <v>442000</v>
      </c>
      <c r="F14" s="47">
        <f>CPC!F18</f>
        <v>458000</v>
      </c>
      <c r="G14" s="47">
        <f>CPC!G18</f>
        <v>444000</v>
      </c>
      <c r="H14" s="47">
        <f>CPC!H18</f>
        <v>552000</v>
      </c>
      <c r="I14" s="47">
        <f>CPC!I18</f>
        <v>889000</v>
      </c>
      <c r="J14" s="47">
        <f>CPC!J18</f>
        <v>455000</v>
      </c>
      <c r="K14" s="47">
        <f>CPC!K18</f>
        <v>408000</v>
      </c>
      <c r="L14" s="47">
        <f>CPC!L18</f>
        <v>450000</v>
      </c>
      <c r="M14" s="47">
        <f>CPC!M18</f>
        <v>476000</v>
      </c>
      <c r="N14" s="47">
        <f>CPC!N18</f>
        <v>468000</v>
      </c>
      <c r="O14" s="47">
        <f>CPC!O18</f>
        <v>482000</v>
      </c>
      <c r="P14" s="38">
        <f t="shared" si="0"/>
        <v>5946000</v>
      </c>
    </row>
    <row r="15" spans="1:16" ht="15" x14ac:dyDescent="0.25">
      <c r="A15" s="40"/>
      <c r="B15" s="49" t="s">
        <v>318</v>
      </c>
      <c r="C15" s="40"/>
      <c r="D15" s="42">
        <f t="shared" ref="D15:O15" si="3">D13+D14</f>
        <v>3508000</v>
      </c>
      <c r="E15" s="42">
        <f t="shared" si="3"/>
        <v>3944000</v>
      </c>
      <c r="F15" s="42">
        <f t="shared" si="3"/>
        <v>4083000</v>
      </c>
      <c r="G15" s="42">
        <f t="shared" si="3"/>
        <v>3832000</v>
      </c>
      <c r="H15" s="42">
        <f t="shared" si="3"/>
        <v>4346000</v>
      </c>
      <c r="I15" s="42">
        <f t="shared" si="3"/>
        <v>4744000</v>
      </c>
      <c r="J15" s="42">
        <f t="shared" si="3"/>
        <v>4101000</v>
      </c>
      <c r="K15" s="42">
        <f t="shared" si="3"/>
        <v>3335000</v>
      </c>
      <c r="L15" s="42">
        <f t="shared" si="3"/>
        <v>3948000</v>
      </c>
      <c r="M15" s="42">
        <f t="shared" si="3"/>
        <v>4512000</v>
      </c>
      <c r="N15" s="42">
        <f t="shared" si="3"/>
        <v>4227000</v>
      </c>
      <c r="O15" s="42">
        <f t="shared" si="3"/>
        <v>4503000</v>
      </c>
      <c r="P15" s="42">
        <f t="shared" si="0"/>
        <v>49083000</v>
      </c>
    </row>
    <row r="16" spans="1:16" ht="15" x14ac:dyDescent="0.25">
      <c r="A16" s="13"/>
      <c r="B16" s="50" t="s">
        <v>319</v>
      </c>
      <c r="C16" s="13"/>
      <c r="D16" s="51">
        <f t="shared" ref="D16:O16" si="4">D8+D12-D15</f>
        <v>2759000</v>
      </c>
      <c r="E16" s="51">
        <f t="shared" si="4"/>
        <v>3165000</v>
      </c>
      <c r="F16" s="51">
        <f t="shared" si="4"/>
        <v>3278000</v>
      </c>
      <c r="G16" s="51">
        <f t="shared" si="4"/>
        <v>3049000</v>
      </c>
      <c r="H16" s="51">
        <f t="shared" si="4"/>
        <v>3357000</v>
      </c>
      <c r="I16" s="51">
        <f t="shared" si="4"/>
        <v>3082000</v>
      </c>
      <c r="J16" s="51">
        <f t="shared" si="4"/>
        <v>3302000</v>
      </c>
      <c r="K16" s="51">
        <f t="shared" si="4"/>
        <v>2609000</v>
      </c>
      <c r="L16" s="51">
        <f t="shared" si="4"/>
        <v>3157000</v>
      </c>
      <c r="M16" s="51">
        <f t="shared" si="4"/>
        <v>3681000</v>
      </c>
      <c r="N16" s="51">
        <f t="shared" si="4"/>
        <v>3405000</v>
      </c>
      <c r="O16" s="51">
        <f t="shared" si="4"/>
        <v>3662000</v>
      </c>
      <c r="P16" s="51">
        <f t="shared" si="0"/>
        <v>38506000</v>
      </c>
    </row>
    <row r="17" spans="1:16" ht="15" x14ac:dyDescent="0.25">
      <c r="A17" s="39"/>
      <c r="B17" s="22" t="s">
        <v>320</v>
      </c>
      <c r="C17" s="46" t="s">
        <v>309</v>
      </c>
      <c r="D17" s="47">
        <f>CPC!D11</f>
        <v>40000</v>
      </c>
      <c r="E17" s="47">
        <f>CPC!E11</f>
        <v>40000</v>
      </c>
      <c r="F17" s="47">
        <f>CPC!F11</f>
        <v>40000</v>
      </c>
      <c r="G17" s="47">
        <f>CPC!G11</f>
        <v>40000</v>
      </c>
      <c r="H17" s="47">
        <f>CPC!H11</f>
        <v>40000</v>
      </c>
      <c r="I17" s="47">
        <f>CPC!I11</f>
        <v>40000</v>
      </c>
      <c r="J17" s="47">
        <f>CPC!J11</f>
        <v>40000</v>
      </c>
      <c r="K17" s="47">
        <f>CPC!K11</f>
        <v>40000</v>
      </c>
      <c r="L17" s="47">
        <f>CPC!L11</f>
        <v>40000</v>
      </c>
      <c r="M17" s="47">
        <f>CPC!M11</f>
        <v>40000</v>
      </c>
      <c r="N17" s="47">
        <f>CPC!N11</f>
        <v>40000</v>
      </c>
      <c r="O17" s="47">
        <f>CPC!O11</f>
        <v>40000</v>
      </c>
      <c r="P17" s="38">
        <f t="shared" si="0"/>
        <v>480000</v>
      </c>
    </row>
    <row r="18" spans="1:16" ht="15" x14ac:dyDescent="0.25">
      <c r="A18" s="39"/>
      <c r="B18" s="22" t="s">
        <v>321</v>
      </c>
      <c r="C18" s="46" t="s">
        <v>309</v>
      </c>
      <c r="D18" s="47">
        <f>CPC!D19</f>
        <v>25000</v>
      </c>
      <c r="E18" s="47">
        <f>CPC!E19</f>
        <v>25000</v>
      </c>
      <c r="F18" s="47">
        <f>CPC!F19</f>
        <v>25000</v>
      </c>
      <c r="G18" s="47">
        <f>CPC!G19</f>
        <v>25000</v>
      </c>
      <c r="H18" s="47">
        <f>CPC!H19</f>
        <v>25000</v>
      </c>
      <c r="I18" s="47">
        <f>CPC!I19</f>
        <v>25000</v>
      </c>
      <c r="J18" s="47">
        <f>CPC!J19</f>
        <v>25000</v>
      </c>
      <c r="K18" s="47">
        <f>CPC!K19</f>
        <v>25000</v>
      </c>
      <c r="L18" s="47">
        <f>CPC!L19</f>
        <v>25000</v>
      </c>
      <c r="M18" s="47">
        <f>CPC!M19</f>
        <v>25000</v>
      </c>
      <c r="N18" s="47">
        <f>CPC!N19</f>
        <v>25000</v>
      </c>
      <c r="O18" s="47">
        <f>CPC!O19</f>
        <v>25000</v>
      </c>
      <c r="P18" s="38">
        <f t="shared" si="0"/>
        <v>300000</v>
      </c>
    </row>
    <row r="19" spans="1:16" ht="15" x14ac:dyDescent="0.25">
      <c r="A19" s="39"/>
      <c r="B19" s="22" t="s">
        <v>322</v>
      </c>
      <c r="C19" s="46" t="s">
        <v>309</v>
      </c>
      <c r="D19" s="47">
        <f>CPC!D20</f>
        <v>1869000</v>
      </c>
      <c r="E19" s="47">
        <f>CPC!E20</f>
        <v>1876000</v>
      </c>
      <c r="F19" s="47">
        <f>CPC!F20</f>
        <v>1884000</v>
      </c>
      <c r="G19" s="47">
        <f>CPC!G20</f>
        <v>1891000</v>
      </c>
      <c r="H19" s="47">
        <f>CPC!H20</f>
        <v>1898000</v>
      </c>
      <c r="I19" s="47">
        <f>CPC!I20</f>
        <v>1906000</v>
      </c>
      <c r="J19" s="47">
        <f>CPC!J20</f>
        <v>1913000</v>
      </c>
      <c r="K19" s="47">
        <f>CPC!K20</f>
        <v>1921000</v>
      </c>
      <c r="L19" s="47">
        <f>CPC!L20</f>
        <v>1928000</v>
      </c>
      <c r="M19" s="47">
        <f>CPC!M20</f>
        <v>1936000</v>
      </c>
      <c r="N19" s="47">
        <f>CPC!N20</f>
        <v>1943000</v>
      </c>
      <c r="O19" s="47">
        <f>CPC!O20</f>
        <v>2095000</v>
      </c>
      <c r="P19" s="38">
        <f t="shared" si="0"/>
        <v>23060000</v>
      </c>
    </row>
    <row r="20" spans="1:16" ht="15" x14ac:dyDescent="0.25">
      <c r="A20" s="13"/>
      <c r="B20" s="50" t="s">
        <v>323</v>
      </c>
      <c r="C20" s="13"/>
      <c r="D20" s="51">
        <f t="shared" ref="D20:O20" si="5">D16+D17-D18-D19</f>
        <v>905000</v>
      </c>
      <c r="E20" s="51">
        <f t="shared" si="5"/>
        <v>1304000</v>
      </c>
      <c r="F20" s="51">
        <f t="shared" si="5"/>
        <v>1409000</v>
      </c>
      <c r="G20" s="51">
        <f t="shared" si="5"/>
        <v>1173000</v>
      </c>
      <c r="H20" s="51">
        <f t="shared" si="5"/>
        <v>1474000</v>
      </c>
      <c r="I20" s="51">
        <f t="shared" si="5"/>
        <v>1191000</v>
      </c>
      <c r="J20" s="51">
        <f t="shared" si="5"/>
        <v>1404000</v>
      </c>
      <c r="K20" s="51">
        <f t="shared" si="5"/>
        <v>703000</v>
      </c>
      <c r="L20" s="51">
        <f t="shared" si="5"/>
        <v>1244000</v>
      </c>
      <c r="M20" s="51">
        <f t="shared" si="5"/>
        <v>1760000</v>
      </c>
      <c r="N20" s="51">
        <f t="shared" si="5"/>
        <v>1477000</v>
      </c>
      <c r="O20" s="51">
        <f t="shared" si="5"/>
        <v>1582000</v>
      </c>
      <c r="P20" s="51">
        <f t="shared" si="0"/>
        <v>15626000</v>
      </c>
    </row>
    <row r="21" spans="1:16" ht="15" x14ac:dyDescent="0.25">
      <c r="A21" s="39"/>
      <c r="B21" s="22" t="s">
        <v>324</v>
      </c>
      <c r="C21" s="46" t="s">
        <v>309</v>
      </c>
      <c r="D21" s="47">
        <f>CPC!D12</f>
        <v>0</v>
      </c>
      <c r="E21" s="47">
        <f>CPC!E12</f>
        <v>0</v>
      </c>
      <c r="F21" s="47">
        <f>CPC!F12</f>
        <v>0</v>
      </c>
      <c r="G21" s="47">
        <f>CPC!G12</f>
        <v>0</v>
      </c>
      <c r="H21" s="47">
        <f>CPC!H12</f>
        <v>0</v>
      </c>
      <c r="I21" s="47">
        <f>CPC!I12</f>
        <v>0</v>
      </c>
      <c r="J21" s="47">
        <f>CPC!J12</f>
        <v>0</v>
      </c>
      <c r="K21" s="47">
        <f>CPC!K12</f>
        <v>0</v>
      </c>
      <c r="L21" s="47">
        <f>CPC!L12</f>
        <v>0</v>
      </c>
      <c r="M21" s="47">
        <f>CPC!M12</f>
        <v>0</v>
      </c>
      <c r="N21" s="47">
        <f>CPC!N12</f>
        <v>0</v>
      </c>
      <c r="O21" s="47">
        <f>CPC!O12</f>
        <v>0</v>
      </c>
      <c r="P21" s="38">
        <f t="shared" si="0"/>
        <v>0</v>
      </c>
    </row>
    <row r="22" spans="1:16" ht="15" x14ac:dyDescent="0.25">
      <c r="A22" s="39"/>
      <c r="B22" s="22" t="s">
        <v>325</v>
      </c>
      <c r="C22" s="46" t="s">
        <v>309</v>
      </c>
      <c r="D22" s="47">
        <f>CPC!D21</f>
        <v>0</v>
      </c>
      <c r="E22" s="47">
        <f>CPC!E21</f>
        <v>0</v>
      </c>
      <c r="F22" s="47">
        <f>CPC!F21</f>
        <v>0</v>
      </c>
      <c r="G22" s="47">
        <f>CPC!G21</f>
        <v>0</v>
      </c>
      <c r="H22" s="47">
        <f>CPC!H21</f>
        <v>0</v>
      </c>
      <c r="I22" s="47">
        <f>CPC!I21</f>
        <v>0</v>
      </c>
      <c r="J22" s="47">
        <f>CPC!J21</f>
        <v>0</v>
      </c>
      <c r="K22" s="47">
        <f>CPC!K21</f>
        <v>0</v>
      </c>
      <c r="L22" s="47">
        <f>CPC!L21</f>
        <v>0</v>
      </c>
      <c r="M22" s="47">
        <f>CPC!M21</f>
        <v>0</v>
      </c>
      <c r="N22" s="47">
        <f>CPC!N21</f>
        <v>0</v>
      </c>
      <c r="O22" s="47">
        <f>CPC!O21</f>
        <v>35000</v>
      </c>
      <c r="P22" s="38">
        <f t="shared" si="0"/>
        <v>35000</v>
      </c>
    </row>
    <row r="23" spans="1:16" ht="15" x14ac:dyDescent="0.25">
      <c r="A23" s="39"/>
      <c r="B23" s="22" t="s">
        <v>326</v>
      </c>
      <c r="C23" s="46" t="s">
        <v>309</v>
      </c>
      <c r="D23" s="47">
        <f>CPC!D13</f>
        <v>25000</v>
      </c>
      <c r="E23" s="47">
        <f>CPC!E13</f>
        <v>25000</v>
      </c>
      <c r="F23" s="47">
        <f>CPC!F13</f>
        <v>25000</v>
      </c>
      <c r="G23" s="47">
        <f>CPC!G13</f>
        <v>25000</v>
      </c>
      <c r="H23" s="47">
        <f>CPC!H13</f>
        <v>25000</v>
      </c>
      <c r="I23" s="47">
        <f>CPC!I13</f>
        <v>25000</v>
      </c>
      <c r="J23" s="47">
        <f>CPC!J13</f>
        <v>25000</v>
      </c>
      <c r="K23" s="47">
        <f>CPC!K13</f>
        <v>25000</v>
      </c>
      <c r="L23" s="47">
        <f>CPC!L13</f>
        <v>25000</v>
      </c>
      <c r="M23" s="47">
        <f>CPC!M13</f>
        <v>25000</v>
      </c>
      <c r="N23" s="47">
        <f>CPC!N13</f>
        <v>25000</v>
      </c>
      <c r="O23" s="47">
        <f>CPC!O13</f>
        <v>60000</v>
      </c>
      <c r="P23" s="38">
        <f t="shared" si="0"/>
        <v>335000</v>
      </c>
    </row>
    <row r="24" spans="1:16" ht="15" x14ac:dyDescent="0.25">
      <c r="A24" s="39"/>
      <c r="B24" s="22" t="s">
        <v>327</v>
      </c>
      <c r="C24" s="46" t="s">
        <v>309</v>
      </c>
      <c r="D24" s="47">
        <f>CPC!D22</f>
        <v>382500</v>
      </c>
      <c r="E24" s="47">
        <f>CPC!E22</f>
        <v>382500</v>
      </c>
      <c r="F24" s="47">
        <f>CPC!F22</f>
        <v>382500</v>
      </c>
      <c r="G24" s="47">
        <f>CPC!G22</f>
        <v>382500</v>
      </c>
      <c r="H24" s="47">
        <f>CPC!H22</f>
        <v>397500</v>
      </c>
      <c r="I24" s="47">
        <f>CPC!I22</f>
        <v>457500</v>
      </c>
      <c r="J24" s="47">
        <f>CPC!J22</f>
        <v>397500</v>
      </c>
      <c r="K24" s="47">
        <f>CPC!K22</f>
        <v>397500</v>
      </c>
      <c r="L24" s="47">
        <f>CPC!L22</f>
        <v>397500</v>
      </c>
      <c r="M24" s="47">
        <f>CPC!M22</f>
        <v>397500</v>
      </c>
      <c r="N24" s="47">
        <f>CPC!N22</f>
        <v>389500</v>
      </c>
      <c r="O24" s="47">
        <f>CPC!O22</f>
        <v>469500</v>
      </c>
      <c r="P24" s="38">
        <f t="shared" si="0"/>
        <v>4834000</v>
      </c>
    </row>
    <row r="25" spans="1:16" ht="15" x14ac:dyDescent="0.25">
      <c r="A25" s="13"/>
      <c r="B25" s="50" t="s">
        <v>328</v>
      </c>
      <c r="C25" s="13"/>
      <c r="D25" s="51">
        <f t="shared" ref="D25:O25" si="6">D20+D21-D22+D23-D24</f>
        <v>547500</v>
      </c>
      <c r="E25" s="51">
        <f t="shared" si="6"/>
        <v>946500</v>
      </c>
      <c r="F25" s="51">
        <f t="shared" si="6"/>
        <v>1051500</v>
      </c>
      <c r="G25" s="51">
        <f t="shared" si="6"/>
        <v>815500</v>
      </c>
      <c r="H25" s="51">
        <f t="shared" si="6"/>
        <v>1101500</v>
      </c>
      <c r="I25" s="51">
        <f t="shared" si="6"/>
        <v>758500</v>
      </c>
      <c r="J25" s="51">
        <f t="shared" si="6"/>
        <v>1031500</v>
      </c>
      <c r="K25" s="51">
        <f t="shared" si="6"/>
        <v>330500</v>
      </c>
      <c r="L25" s="51">
        <f t="shared" si="6"/>
        <v>871500</v>
      </c>
      <c r="M25" s="51">
        <f t="shared" si="6"/>
        <v>1387500</v>
      </c>
      <c r="N25" s="51">
        <f t="shared" si="6"/>
        <v>1112500</v>
      </c>
      <c r="O25" s="51">
        <f t="shared" si="6"/>
        <v>1137500</v>
      </c>
      <c r="P25" s="51">
        <f t="shared" si="0"/>
        <v>11092000</v>
      </c>
    </row>
    <row r="26" spans="1:16" ht="15" x14ac:dyDescent="0.25">
      <c r="A26" s="39"/>
      <c r="B26" s="22" t="s">
        <v>329</v>
      </c>
      <c r="C26" s="46" t="s">
        <v>309</v>
      </c>
      <c r="D26" s="47">
        <f>CPC!D37</f>
        <v>-79000</v>
      </c>
      <c r="E26" s="47">
        <f>CPC!E37</f>
        <v>-23700</v>
      </c>
      <c r="F26" s="47">
        <f>CPC!F37</f>
        <v>-38400</v>
      </c>
      <c r="G26" s="47">
        <f>CPC!G37</f>
        <v>-30100</v>
      </c>
      <c r="H26" s="47">
        <f>CPC!H37</f>
        <v>-57800</v>
      </c>
      <c r="I26" s="47">
        <f>CPC!I37</f>
        <v>-87500</v>
      </c>
      <c r="J26" s="47">
        <f>CPC!J37</f>
        <v>-6200</v>
      </c>
      <c r="K26" s="47">
        <f>CPC!K37</f>
        <v>-63900</v>
      </c>
      <c r="L26" s="47">
        <f>CPC!L37</f>
        <v>-20600</v>
      </c>
      <c r="M26" s="47">
        <f>CPC!M37</f>
        <v>-93300</v>
      </c>
      <c r="N26" s="47">
        <f>CPC!N37</f>
        <v>-50000</v>
      </c>
      <c r="O26" s="47">
        <f>CPC!O37</f>
        <v>-48700</v>
      </c>
      <c r="P26" s="38">
        <f t="shared" si="0"/>
        <v>-599200</v>
      </c>
    </row>
    <row r="27" spans="1:16" ht="15" x14ac:dyDescent="0.25">
      <c r="A27" s="13"/>
      <c r="B27" s="50" t="s">
        <v>330</v>
      </c>
      <c r="C27" s="13"/>
      <c r="D27" s="51">
        <f t="shared" ref="D27:O27" si="7">D25+D26</f>
        <v>468500</v>
      </c>
      <c r="E27" s="51">
        <f t="shared" si="7"/>
        <v>922800</v>
      </c>
      <c r="F27" s="51">
        <f t="shared" si="7"/>
        <v>1013100</v>
      </c>
      <c r="G27" s="51">
        <f t="shared" si="7"/>
        <v>785400</v>
      </c>
      <c r="H27" s="51">
        <f t="shared" si="7"/>
        <v>1043700</v>
      </c>
      <c r="I27" s="51">
        <f t="shared" si="7"/>
        <v>671000</v>
      </c>
      <c r="J27" s="51">
        <f t="shared" si="7"/>
        <v>1025300</v>
      </c>
      <c r="K27" s="51">
        <f t="shared" si="7"/>
        <v>266600</v>
      </c>
      <c r="L27" s="51">
        <f t="shared" si="7"/>
        <v>850900</v>
      </c>
      <c r="M27" s="51">
        <f t="shared" si="7"/>
        <v>1294200</v>
      </c>
      <c r="N27" s="51">
        <f t="shared" si="7"/>
        <v>1062500</v>
      </c>
      <c r="O27" s="51">
        <f t="shared" si="7"/>
        <v>1088800</v>
      </c>
      <c r="P27" s="51">
        <f t="shared" si="0"/>
        <v>10492800</v>
      </c>
    </row>
    <row r="28" spans="1:16" ht="15" x14ac:dyDescent="0.25">
      <c r="A28" s="39"/>
      <c r="B28" s="22" t="s">
        <v>331</v>
      </c>
      <c r="C28" s="46" t="s">
        <v>309</v>
      </c>
      <c r="D28" s="47">
        <f>CPC!D52</f>
        <v>0</v>
      </c>
      <c r="E28" s="47">
        <f>CPC!E52</f>
        <v>0</v>
      </c>
      <c r="F28" s="47">
        <f>CPC!F52</f>
        <v>-20000</v>
      </c>
      <c r="G28" s="47">
        <f>CPC!G52</f>
        <v>0</v>
      </c>
      <c r="H28" s="47">
        <f>CPC!H52</f>
        <v>0</v>
      </c>
      <c r="I28" s="47">
        <f>CPC!I52</f>
        <v>0</v>
      </c>
      <c r="J28" s="47">
        <f>CPC!J52</f>
        <v>0</v>
      </c>
      <c r="K28" s="47">
        <f>CPC!K52</f>
        <v>0</v>
      </c>
      <c r="L28" s="47">
        <f>CPC!L52</f>
        <v>0</v>
      </c>
      <c r="M28" s="47">
        <f>CPC!M52</f>
        <v>40000</v>
      </c>
      <c r="N28" s="47">
        <f>CPC!N52</f>
        <v>0</v>
      </c>
      <c r="O28" s="47">
        <f>CPC!O52</f>
        <v>0</v>
      </c>
      <c r="P28" s="38">
        <f t="shared" si="0"/>
        <v>20000</v>
      </c>
    </row>
    <row r="29" spans="1:16" ht="15" x14ac:dyDescent="0.25">
      <c r="A29" s="39"/>
      <c r="B29" s="22" t="s">
        <v>332</v>
      </c>
      <c r="C29" s="46" t="s">
        <v>309</v>
      </c>
      <c r="D29" s="47">
        <f>CPC!D54</f>
        <v>93700</v>
      </c>
      <c r="E29" s="47">
        <f>CPC!E54</f>
        <v>184600</v>
      </c>
      <c r="F29" s="47">
        <f>CPC!F54</f>
        <v>198600</v>
      </c>
      <c r="G29" s="47">
        <f>CPC!G54</f>
        <v>157100</v>
      </c>
      <c r="H29" s="47">
        <f>CPC!H54</f>
        <v>208700</v>
      </c>
      <c r="I29" s="47">
        <f>CPC!I54</f>
        <v>134200</v>
      </c>
      <c r="J29" s="47">
        <f>CPC!J54</f>
        <v>205100</v>
      </c>
      <c r="K29" s="47">
        <f>CPC!K54</f>
        <v>53300</v>
      </c>
      <c r="L29" s="47">
        <f>CPC!L54</f>
        <v>170200</v>
      </c>
      <c r="M29" s="47">
        <f>CPC!M54</f>
        <v>266800</v>
      </c>
      <c r="N29" s="47">
        <f>CPC!N54</f>
        <v>212500</v>
      </c>
      <c r="O29" s="47">
        <f>CPC!O54</f>
        <v>217800</v>
      </c>
      <c r="P29" s="38">
        <f t="shared" si="0"/>
        <v>2102600</v>
      </c>
    </row>
    <row r="30" spans="1:16" ht="15" x14ac:dyDescent="0.25">
      <c r="A30" s="13"/>
      <c r="B30" s="50" t="s">
        <v>333</v>
      </c>
      <c r="C30" s="13"/>
      <c r="D30" s="51">
        <f t="shared" ref="D30:O30" si="8">D27+D28-D29</f>
        <v>374800</v>
      </c>
      <c r="E30" s="51">
        <f t="shared" si="8"/>
        <v>738200</v>
      </c>
      <c r="F30" s="51">
        <f t="shared" si="8"/>
        <v>794500</v>
      </c>
      <c r="G30" s="51">
        <f t="shared" si="8"/>
        <v>628300</v>
      </c>
      <c r="H30" s="51">
        <f t="shared" si="8"/>
        <v>835000</v>
      </c>
      <c r="I30" s="51">
        <f t="shared" si="8"/>
        <v>536800</v>
      </c>
      <c r="J30" s="51">
        <f t="shared" si="8"/>
        <v>820200</v>
      </c>
      <c r="K30" s="51">
        <f t="shared" si="8"/>
        <v>213300</v>
      </c>
      <c r="L30" s="51">
        <f t="shared" si="8"/>
        <v>680700</v>
      </c>
      <c r="M30" s="51">
        <f t="shared" si="8"/>
        <v>1067400</v>
      </c>
      <c r="N30" s="51">
        <f t="shared" si="8"/>
        <v>850000</v>
      </c>
      <c r="O30" s="51">
        <f t="shared" si="8"/>
        <v>871000</v>
      </c>
      <c r="P30" s="51">
        <f t="shared" si="0"/>
        <v>8410200</v>
      </c>
    </row>
    <row r="31" spans="1:16" ht="15" x14ac:dyDescent="0.25">
      <c r="A31" s="45" t="s">
        <v>334</v>
      </c>
      <c r="B31" s="34" t="s">
        <v>335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</row>
    <row r="32" spans="1:16" ht="15" x14ac:dyDescent="0.25">
      <c r="A32" s="39"/>
      <c r="B32" s="22" t="s">
        <v>336</v>
      </c>
      <c r="C32" s="46" t="s">
        <v>337</v>
      </c>
      <c r="D32" s="47">
        <f t="shared" ref="D32:O32" si="9">D30</f>
        <v>374800</v>
      </c>
      <c r="E32" s="47">
        <f t="shared" si="9"/>
        <v>738200</v>
      </c>
      <c r="F32" s="47">
        <f t="shared" si="9"/>
        <v>794500</v>
      </c>
      <c r="G32" s="47">
        <f t="shared" si="9"/>
        <v>628300</v>
      </c>
      <c r="H32" s="47">
        <f t="shared" si="9"/>
        <v>835000</v>
      </c>
      <c r="I32" s="47">
        <f t="shared" si="9"/>
        <v>536800</v>
      </c>
      <c r="J32" s="47">
        <f t="shared" si="9"/>
        <v>820200</v>
      </c>
      <c r="K32" s="47">
        <f t="shared" si="9"/>
        <v>213300</v>
      </c>
      <c r="L32" s="47">
        <f t="shared" si="9"/>
        <v>680700</v>
      </c>
      <c r="M32" s="47">
        <f t="shared" si="9"/>
        <v>1067400</v>
      </c>
      <c r="N32" s="47">
        <f t="shared" si="9"/>
        <v>850000</v>
      </c>
      <c r="O32" s="47">
        <f t="shared" si="9"/>
        <v>871000</v>
      </c>
      <c r="P32" s="38">
        <f t="shared" ref="P32:P41" si="10">SUM(D32:O32)</f>
        <v>8410200</v>
      </c>
    </row>
    <row r="33" spans="1:16" ht="15" x14ac:dyDescent="0.25">
      <c r="A33" s="39"/>
      <c r="B33" s="22" t="s">
        <v>338</v>
      </c>
      <c r="C33" s="46" t="s">
        <v>339</v>
      </c>
      <c r="D33" s="47">
        <f>IFERROR(SUMPRODUCT((LEFT(Balance!$A$6:$A$75,3)="619")*(LEFT(Balance!$A$6:$A$75,4)&lt;&gt;"6196")*(LEFT(Balance!$A$6:$A$75,4)&lt;&gt;"6197")*Balance!F$6:F$75),0)</f>
        <v>382500</v>
      </c>
      <c r="E33" s="47">
        <f>IFERROR(SUMPRODUCT((LEFT(Balance!$A$6:$A$75,3)="619")*(LEFT(Balance!$A$6:$A$75,4)&lt;&gt;"6196")*(LEFT(Balance!$A$6:$A$75,4)&lt;&gt;"6197")*Balance!G$6:G$75),0)</f>
        <v>382500</v>
      </c>
      <c r="F33" s="47">
        <f>IFERROR(SUMPRODUCT((LEFT(Balance!$A$6:$A$75,3)="619")*(LEFT(Balance!$A$6:$A$75,4)&lt;&gt;"6196")*(LEFT(Balance!$A$6:$A$75,4)&lt;&gt;"6197")*Balance!H$6:H$75),0)</f>
        <v>382500</v>
      </c>
      <c r="G33" s="47">
        <f>IFERROR(SUMPRODUCT((LEFT(Balance!$A$6:$A$75,3)="619")*(LEFT(Balance!$A$6:$A$75,4)&lt;&gt;"6196")*(LEFT(Balance!$A$6:$A$75,4)&lt;&gt;"6197")*Balance!I$6:I$75),0)</f>
        <v>382500</v>
      </c>
      <c r="H33" s="47">
        <f>IFERROR(SUMPRODUCT((LEFT(Balance!$A$6:$A$75,3)="619")*(LEFT(Balance!$A$6:$A$75,4)&lt;&gt;"6196")*(LEFT(Balance!$A$6:$A$75,4)&lt;&gt;"6197")*Balance!J$6:J$75),0)</f>
        <v>397500</v>
      </c>
      <c r="I33" s="47">
        <f>IFERROR(SUMPRODUCT((LEFT(Balance!$A$6:$A$75,3)="619")*(LEFT(Balance!$A$6:$A$75,4)&lt;&gt;"6196")*(LEFT(Balance!$A$6:$A$75,4)&lt;&gt;"6197")*Balance!K$6:K$75),0)</f>
        <v>397500</v>
      </c>
      <c r="J33" s="47">
        <f>IFERROR(SUMPRODUCT((LEFT(Balance!$A$6:$A$75,3)="619")*(LEFT(Balance!$A$6:$A$75,4)&lt;&gt;"6196")*(LEFT(Balance!$A$6:$A$75,4)&lt;&gt;"6197")*Balance!L$6:L$75),0)</f>
        <v>397500</v>
      </c>
      <c r="K33" s="47">
        <f>IFERROR(SUMPRODUCT((LEFT(Balance!$A$6:$A$75,3)="619")*(LEFT(Balance!$A$6:$A$75,4)&lt;&gt;"6196")*(LEFT(Balance!$A$6:$A$75,4)&lt;&gt;"6197")*Balance!M$6:M$75),0)</f>
        <v>397500</v>
      </c>
      <c r="L33" s="47">
        <f>IFERROR(SUMPRODUCT((LEFT(Balance!$A$6:$A$75,3)="619")*(LEFT(Balance!$A$6:$A$75,4)&lt;&gt;"6196")*(LEFT(Balance!$A$6:$A$75,4)&lt;&gt;"6197")*Balance!N$6:N$75),0)</f>
        <v>397500</v>
      </c>
      <c r="M33" s="47">
        <f>IFERROR(SUMPRODUCT((LEFT(Balance!$A$6:$A$75,3)="619")*(LEFT(Balance!$A$6:$A$75,4)&lt;&gt;"6196")*(LEFT(Balance!$A$6:$A$75,4)&lt;&gt;"6197")*Balance!O$6:O$75),0)</f>
        <v>397500</v>
      </c>
      <c r="N33" s="47">
        <f>IFERROR(SUMPRODUCT((LEFT(Balance!$A$6:$A$75,3)="619")*(LEFT(Balance!$A$6:$A$75,4)&lt;&gt;"6196")*(LEFT(Balance!$A$6:$A$75,4)&lt;&gt;"6197")*Balance!P$6:P$75),0)</f>
        <v>389500</v>
      </c>
      <c r="O33" s="47">
        <f>IFERROR(SUMPRODUCT((LEFT(Balance!$A$6:$A$75,3)="619")*(LEFT(Balance!$A$6:$A$75,4)&lt;&gt;"6196")*(LEFT(Balance!$A$6:$A$75,4)&lt;&gt;"6197")*Balance!Q$6:Q$75),0)</f>
        <v>389500</v>
      </c>
      <c r="P33" s="38">
        <f t="shared" si="10"/>
        <v>4694000</v>
      </c>
    </row>
    <row r="34" spans="1:16" ht="15" x14ac:dyDescent="0.25">
      <c r="A34" s="39"/>
      <c r="B34" s="22" t="s">
        <v>340</v>
      </c>
      <c r="C34" s="46" t="s">
        <v>309</v>
      </c>
      <c r="D34" s="47">
        <f>CPC!D35</f>
        <v>0</v>
      </c>
      <c r="E34" s="47">
        <f>CPC!E35</f>
        <v>0</v>
      </c>
      <c r="F34" s="47">
        <f>CPC!F35</f>
        <v>0</v>
      </c>
      <c r="G34" s="47">
        <f>CPC!G35</f>
        <v>0</v>
      </c>
      <c r="H34" s="47">
        <f>CPC!H35</f>
        <v>0</v>
      </c>
      <c r="I34" s="47">
        <f>CPC!I35</f>
        <v>0</v>
      </c>
      <c r="J34" s="47">
        <f>CPC!J35</f>
        <v>0</v>
      </c>
      <c r="K34" s="47">
        <f>CPC!K35</f>
        <v>0</v>
      </c>
      <c r="L34" s="47">
        <f>CPC!L35</f>
        <v>0</v>
      </c>
      <c r="M34" s="47">
        <f>CPC!M35</f>
        <v>0</v>
      </c>
      <c r="N34" s="47">
        <f>CPC!N35</f>
        <v>0</v>
      </c>
      <c r="O34" s="47">
        <f>CPC!O35</f>
        <v>0</v>
      </c>
      <c r="P34" s="38">
        <f t="shared" si="10"/>
        <v>0</v>
      </c>
    </row>
    <row r="35" spans="1:16" ht="15" x14ac:dyDescent="0.25">
      <c r="A35" s="39"/>
      <c r="B35" s="22" t="s">
        <v>341</v>
      </c>
      <c r="C35" s="46" t="s">
        <v>309</v>
      </c>
      <c r="D35" s="47">
        <f>CPC!D50</f>
        <v>0</v>
      </c>
      <c r="E35" s="47">
        <f>CPC!E50</f>
        <v>0</v>
      </c>
      <c r="F35" s="47">
        <f>CPC!F50</f>
        <v>0</v>
      </c>
      <c r="G35" s="47">
        <f>CPC!G50</f>
        <v>0</v>
      </c>
      <c r="H35" s="47">
        <f>CPC!H50</f>
        <v>0</v>
      </c>
      <c r="I35" s="47">
        <f>CPC!I50</f>
        <v>0</v>
      </c>
      <c r="J35" s="47">
        <f>CPC!J50</f>
        <v>0</v>
      </c>
      <c r="K35" s="47">
        <f>CPC!K50</f>
        <v>0</v>
      </c>
      <c r="L35" s="47">
        <f>CPC!L50</f>
        <v>0</v>
      </c>
      <c r="M35" s="47">
        <f>CPC!M50</f>
        <v>0</v>
      </c>
      <c r="N35" s="47">
        <f>CPC!N50</f>
        <v>0</v>
      </c>
      <c r="O35" s="47">
        <f>CPC!O50</f>
        <v>0</v>
      </c>
      <c r="P35" s="38">
        <f t="shared" si="10"/>
        <v>0</v>
      </c>
    </row>
    <row r="36" spans="1:16" ht="15" x14ac:dyDescent="0.25">
      <c r="A36" s="39"/>
      <c r="B36" s="22" t="s">
        <v>342</v>
      </c>
      <c r="C36" s="46" t="s">
        <v>339</v>
      </c>
      <c r="D36" s="47">
        <f>IFERROR(SUMPRODUCT((LEFT(Balance!$A$6:$A$75,3)="719")*(LEFT(Balance!$A$6:$A$75,4)&lt;&gt;"7196")*(LEFT(Balance!$A$6:$A$75,4)&lt;&gt;"7197")*Balance!F$6:F$75),0)</f>
        <v>0</v>
      </c>
      <c r="E36" s="47">
        <f>IFERROR(SUMPRODUCT((LEFT(Balance!$A$6:$A$75,3)="719")*(LEFT(Balance!$A$6:$A$75,4)&lt;&gt;"7196")*(LEFT(Balance!$A$6:$A$75,4)&lt;&gt;"7197")*Balance!G$6:G$75),0)</f>
        <v>0</v>
      </c>
      <c r="F36" s="47">
        <f>IFERROR(SUMPRODUCT((LEFT(Balance!$A$6:$A$75,3)="719")*(LEFT(Balance!$A$6:$A$75,4)&lt;&gt;"7196")*(LEFT(Balance!$A$6:$A$75,4)&lt;&gt;"7197")*Balance!H$6:H$75),0)</f>
        <v>0</v>
      </c>
      <c r="G36" s="47">
        <f>IFERROR(SUMPRODUCT((LEFT(Balance!$A$6:$A$75,3)="719")*(LEFT(Balance!$A$6:$A$75,4)&lt;&gt;"7196")*(LEFT(Balance!$A$6:$A$75,4)&lt;&gt;"7197")*Balance!I$6:I$75),0)</f>
        <v>0</v>
      </c>
      <c r="H36" s="47">
        <f>IFERROR(SUMPRODUCT((LEFT(Balance!$A$6:$A$75,3)="719")*(LEFT(Balance!$A$6:$A$75,4)&lt;&gt;"7196")*(LEFT(Balance!$A$6:$A$75,4)&lt;&gt;"7197")*Balance!J$6:J$75),0)</f>
        <v>0</v>
      </c>
      <c r="I36" s="47">
        <f>IFERROR(SUMPRODUCT((LEFT(Balance!$A$6:$A$75,3)="719")*(LEFT(Balance!$A$6:$A$75,4)&lt;&gt;"7196")*(LEFT(Balance!$A$6:$A$75,4)&lt;&gt;"7197")*Balance!K$6:K$75),0)</f>
        <v>0</v>
      </c>
      <c r="J36" s="47">
        <f>IFERROR(SUMPRODUCT((LEFT(Balance!$A$6:$A$75,3)="719")*(LEFT(Balance!$A$6:$A$75,4)&lt;&gt;"7196")*(LEFT(Balance!$A$6:$A$75,4)&lt;&gt;"7197")*Balance!L$6:L$75),0)</f>
        <v>0</v>
      </c>
      <c r="K36" s="47">
        <f>IFERROR(SUMPRODUCT((LEFT(Balance!$A$6:$A$75,3)="719")*(LEFT(Balance!$A$6:$A$75,4)&lt;&gt;"7196")*(LEFT(Balance!$A$6:$A$75,4)&lt;&gt;"7197")*Balance!M$6:M$75),0)</f>
        <v>0</v>
      </c>
      <c r="L36" s="47">
        <f>IFERROR(SUMPRODUCT((LEFT(Balance!$A$6:$A$75,3)="719")*(LEFT(Balance!$A$6:$A$75,4)&lt;&gt;"7196")*(LEFT(Balance!$A$6:$A$75,4)&lt;&gt;"7197")*Balance!N$6:N$75),0)</f>
        <v>0</v>
      </c>
      <c r="M36" s="47">
        <f>IFERROR(SUMPRODUCT((LEFT(Balance!$A$6:$A$75,3)="719")*(LEFT(Balance!$A$6:$A$75,4)&lt;&gt;"7196")*(LEFT(Balance!$A$6:$A$75,4)&lt;&gt;"7197")*Balance!O$6:O$75),0)</f>
        <v>0</v>
      </c>
      <c r="N36" s="47">
        <f>IFERROR(SUMPRODUCT((LEFT(Balance!$A$6:$A$75,3)="719")*(LEFT(Balance!$A$6:$A$75,4)&lt;&gt;"7196")*(LEFT(Balance!$A$6:$A$75,4)&lt;&gt;"7197")*Balance!P$6:P$75),0)</f>
        <v>0</v>
      </c>
      <c r="O36" s="47">
        <f>IFERROR(SUMPRODUCT((LEFT(Balance!$A$6:$A$75,3)="719")*(LEFT(Balance!$A$6:$A$75,4)&lt;&gt;"7196")*(LEFT(Balance!$A$6:$A$75,4)&lt;&gt;"7197")*Balance!Q$6:Q$75),0)</f>
        <v>0</v>
      </c>
      <c r="P36" s="38">
        <f t="shared" si="10"/>
        <v>0</v>
      </c>
    </row>
    <row r="37" spans="1:16" ht="15" x14ac:dyDescent="0.25">
      <c r="A37" s="39"/>
      <c r="B37" s="22" t="s">
        <v>343</v>
      </c>
      <c r="C37" s="46" t="s">
        <v>309</v>
      </c>
      <c r="D37" s="47">
        <f>CPC!D29</f>
        <v>0</v>
      </c>
      <c r="E37" s="47">
        <f>CPC!E29</f>
        <v>0</v>
      </c>
      <c r="F37" s="47">
        <f>CPC!F29</f>
        <v>0</v>
      </c>
      <c r="G37" s="47">
        <f>CPC!G29</f>
        <v>0</v>
      </c>
      <c r="H37" s="47">
        <f>CPC!H29</f>
        <v>0</v>
      </c>
      <c r="I37" s="47">
        <f>CPC!I29</f>
        <v>0</v>
      </c>
      <c r="J37" s="47">
        <f>CPC!J29</f>
        <v>0</v>
      </c>
      <c r="K37" s="47">
        <f>CPC!K29</f>
        <v>0</v>
      </c>
      <c r="L37" s="47">
        <f>CPC!L29</f>
        <v>0</v>
      </c>
      <c r="M37" s="47">
        <f>CPC!M29</f>
        <v>0</v>
      </c>
      <c r="N37" s="47">
        <f>CPC!N29</f>
        <v>0</v>
      </c>
      <c r="O37" s="47">
        <f>CPC!O29</f>
        <v>0</v>
      </c>
      <c r="P37" s="38">
        <f t="shared" si="10"/>
        <v>0</v>
      </c>
    </row>
    <row r="38" spans="1:16" ht="15" x14ac:dyDescent="0.25">
      <c r="A38" s="39"/>
      <c r="B38" s="22" t="s">
        <v>344</v>
      </c>
      <c r="C38" s="46" t="s">
        <v>309</v>
      </c>
      <c r="D38" s="47">
        <f>CPC!D44</f>
        <v>0</v>
      </c>
      <c r="E38" s="47">
        <f>CPC!E44</f>
        <v>0</v>
      </c>
      <c r="F38" s="47">
        <f>CPC!F44</f>
        <v>0</v>
      </c>
      <c r="G38" s="47">
        <f>CPC!G44</f>
        <v>0</v>
      </c>
      <c r="H38" s="47">
        <f>CPC!H44</f>
        <v>0</v>
      </c>
      <c r="I38" s="47">
        <f>CPC!I44</f>
        <v>0</v>
      </c>
      <c r="J38" s="47">
        <f>CPC!J44</f>
        <v>0</v>
      </c>
      <c r="K38" s="47">
        <f>CPC!K44</f>
        <v>0</v>
      </c>
      <c r="L38" s="47">
        <f>CPC!L44</f>
        <v>0</v>
      </c>
      <c r="M38" s="47">
        <f>CPC!M44</f>
        <v>0</v>
      </c>
      <c r="N38" s="47">
        <f>CPC!N44</f>
        <v>0</v>
      </c>
      <c r="O38" s="47">
        <f>CPC!O44</f>
        <v>0</v>
      </c>
      <c r="P38" s="38">
        <f t="shared" si="10"/>
        <v>0</v>
      </c>
    </row>
    <row r="39" spans="1:16" ht="15" x14ac:dyDescent="0.25">
      <c r="A39" s="39"/>
      <c r="B39" s="22" t="s">
        <v>345</v>
      </c>
      <c r="C39" s="46" t="s">
        <v>309</v>
      </c>
      <c r="D39" s="47">
        <f>CPC!D40</f>
        <v>0</v>
      </c>
      <c r="E39" s="47">
        <f>CPC!E40</f>
        <v>0</v>
      </c>
      <c r="F39" s="47">
        <f>CPC!F40</f>
        <v>0</v>
      </c>
      <c r="G39" s="47">
        <f>CPC!G40</f>
        <v>0</v>
      </c>
      <c r="H39" s="47">
        <f>CPC!H40</f>
        <v>0</v>
      </c>
      <c r="I39" s="47">
        <f>CPC!I40</f>
        <v>0</v>
      </c>
      <c r="J39" s="47">
        <f>CPC!J40</f>
        <v>0</v>
      </c>
      <c r="K39" s="47">
        <f>CPC!K40</f>
        <v>0</v>
      </c>
      <c r="L39" s="47">
        <f>CPC!L40</f>
        <v>0</v>
      </c>
      <c r="M39" s="47">
        <f>CPC!M40</f>
        <v>150000</v>
      </c>
      <c r="N39" s="47">
        <f>CPC!N40</f>
        <v>0</v>
      </c>
      <c r="O39" s="47">
        <f>CPC!O40</f>
        <v>0</v>
      </c>
      <c r="P39" s="38">
        <f t="shared" si="10"/>
        <v>150000</v>
      </c>
    </row>
    <row r="40" spans="1:16" ht="15" x14ac:dyDescent="0.25">
      <c r="A40" s="39"/>
      <c r="B40" s="22" t="s">
        <v>346</v>
      </c>
      <c r="C40" s="46" t="s">
        <v>309</v>
      </c>
      <c r="D40" s="47">
        <f>CPC!D47</f>
        <v>0</v>
      </c>
      <c r="E40" s="47">
        <f>CPC!E47</f>
        <v>0</v>
      </c>
      <c r="F40" s="47">
        <f>CPC!F47</f>
        <v>0</v>
      </c>
      <c r="G40" s="47">
        <f>CPC!G47</f>
        <v>0</v>
      </c>
      <c r="H40" s="47">
        <f>CPC!H47</f>
        <v>0</v>
      </c>
      <c r="I40" s="47">
        <f>CPC!I47</f>
        <v>0</v>
      </c>
      <c r="J40" s="47">
        <f>CPC!J47</f>
        <v>0</v>
      </c>
      <c r="K40" s="47">
        <f>CPC!K47</f>
        <v>0</v>
      </c>
      <c r="L40" s="47">
        <f>CPC!L47</f>
        <v>0</v>
      </c>
      <c r="M40" s="47">
        <f>CPC!M47</f>
        <v>110000</v>
      </c>
      <c r="N40" s="47">
        <f>CPC!N47</f>
        <v>0</v>
      </c>
      <c r="O40" s="47">
        <f>CPC!O47</f>
        <v>0</v>
      </c>
      <c r="P40" s="38">
        <f t="shared" si="10"/>
        <v>110000</v>
      </c>
    </row>
    <row r="41" spans="1:16" ht="15" x14ac:dyDescent="0.25">
      <c r="A41" s="13"/>
      <c r="B41" s="50" t="s">
        <v>347</v>
      </c>
      <c r="C41" s="13"/>
      <c r="D41" s="51">
        <f t="shared" ref="D41:O41" si="11">D32+D33+D34+D35-D36-D37-D38-D39+D40</f>
        <v>757300</v>
      </c>
      <c r="E41" s="51">
        <f t="shared" si="11"/>
        <v>1120700</v>
      </c>
      <c r="F41" s="51">
        <f t="shared" si="11"/>
        <v>1177000</v>
      </c>
      <c r="G41" s="51">
        <f t="shared" si="11"/>
        <v>1010800</v>
      </c>
      <c r="H41" s="51">
        <f t="shared" si="11"/>
        <v>1232500</v>
      </c>
      <c r="I41" s="51">
        <f t="shared" si="11"/>
        <v>934300</v>
      </c>
      <c r="J41" s="51">
        <f t="shared" si="11"/>
        <v>1217700</v>
      </c>
      <c r="K41" s="51">
        <f t="shared" si="11"/>
        <v>610800</v>
      </c>
      <c r="L41" s="51">
        <f t="shared" si="11"/>
        <v>1078200</v>
      </c>
      <c r="M41" s="51">
        <f t="shared" si="11"/>
        <v>1424900</v>
      </c>
      <c r="N41" s="51">
        <f t="shared" si="11"/>
        <v>1239500</v>
      </c>
      <c r="O41" s="51">
        <f t="shared" si="11"/>
        <v>1260500</v>
      </c>
      <c r="P41" s="51">
        <f t="shared" si="10"/>
        <v>13064200</v>
      </c>
    </row>
    <row r="43" spans="1:16" x14ac:dyDescent="0.2">
      <c r="B43" s="52" t="s">
        <v>348</v>
      </c>
      <c r="D43" s="53">
        <f>D30-CPC!D55</f>
        <v>0</v>
      </c>
      <c r="E43" s="53">
        <f>E30-CPC!E55</f>
        <v>0</v>
      </c>
      <c r="F43" s="53">
        <f>F30-CPC!F55</f>
        <v>0</v>
      </c>
      <c r="G43" s="53">
        <f>G30-CPC!G55</f>
        <v>0</v>
      </c>
      <c r="H43" s="53">
        <f>H30-CPC!H55</f>
        <v>0</v>
      </c>
      <c r="I43" s="53">
        <f>I30-CPC!I55</f>
        <v>0</v>
      </c>
      <c r="J43" s="53">
        <f>J30-CPC!J55</f>
        <v>0</v>
      </c>
      <c r="K43" s="53">
        <f>K30-CPC!K55</f>
        <v>0</v>
      </c>
      <c r="L43" s="53">
        <f>L30-CPC!L55</f>
        <v>0</v>
      </c>
      <c r="M43" s="53">
        <f>M30-CPC!M55</f>
        <v>0</v>
      </c>
      <c r="N43" s="53">
        <f>N30-CPC!N55</f>
        <v>0</v>
      </c>
      <c r="O43" s="53">
        <f>O30-CPC!O55</f>
        <v>0</v>
      </c>
      <c r="P43" s="53">
        <f>P30-CPC!P55</f>
        <v>0</v>
      </c>
    </row>
  </sheetData>
  <hyperlinks>
    <hyperlink ref="P1" location="Accueil!A1" display="⌂ Accueil" xr:uid="{00000000-0004-0000-0300-000000000000}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A1E2C"/>
    <pageSetUpPr fitToPage="1"/>
  </sheetPr>
  <dimension ref="A1:Q58"/>
  <sheetViews>
    <sheetView showGridLines="0" tabSelected="1" zoomScaleNormal="100" workbookViewId="0">
      <pane xSplit="3" ySplit="9" topLeftCell="H20" activePane="bottomRight" state="frozen"/>
      <selection pane="topRight" activeCell="D1" sqref="D1"/>
      <selection pane="bottomLeft" activeCell="A10" sqref="A10"/>
      <selection pane="bottomRight" activeCell="A5" sqref="A5"/>
    </sheetView>
  </sheetViews>
  <sheetFormatPr baseColWidth="10" defaultColWidth="8.7109375" defaultRowHeight="12.75" x14ac:dyDescent="0.2"/>
  <cols>
    <col min="1" max="1" width="58" customWidth="1"/>
    <col min="2" max="2" width="7" customWidth="1"/>
    <col min="3" max="3" width="20" customWidth="1"/>
    <col min="4" max="6" width="15.5703125" customWidth="1"/>
    <col min="7" max="7" width="20.7109375" customWidth="1"/>
    <col min="8" max="9" width="15.5703125" customWidth="1"/>
    <col min="10" max="10" width="17.42578125" customWidth="1"/>
    <col min="11" max="11" width="19" customWidth="1"/>
    <col min="12" max="15" width="15.5703125" customWidth="1"/>
    <col min="16" max="16" width="15" customWidth="1"/>
    <col min="17" max="17" width="19" customWidth="1"/>
  </cols>
  <sheetData>
    <row r="1" spans="1:17" ht="30" customHeight="1" x14ac:dyDescent="0.25">
      <c r="A1" s="27" t="s">
        <v>349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28" t="s">
        <v>46</v>
      </c>
    </row>
    <row r="2" spans="1:17" ht="15" x14ac:dyDescent="0.25">
      <c r="A2" s="29" t="s">
        <v>350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4" spans="1:17" ht="23.25" customHeight="1" x14ac:dyDescent="0.2">
      <c r="A4" s="54" t="s">
        <v>351</v>
      </c>
      <c r="C4" s="55" t="s">
        <v>42</v>
      </c>
      <c r="D4" s="52" t="s">
        <v>352</v>
      </c>
    </row>
    <row r="5" spans="1:17" ht="23.25" customHeight="1" x14ac:dyDescent="0.2">
      <c r="A5" s="56" t="s">
        <v>353</v>
      </c>
      <c r="C5" s="57">
        <v>0.02</v>
      </c>
    </row>
    <row r="6" spans="1:17" ht="23.25" customHeight="1" x14ac:dyDescent="0.2">
      <c r="A6" s="56" t="s">
        <v>354</v>
      </c>
      <c r="C6" s="58">
        <v>0.8</v>
      </c>
    </row>
    <row r="7" spans="1:17" ht="23.25" customHeight="1" x14ac:dyDescent="0.2">
      <c r="A7" s="56" t="s">
        <v>355</v>
      </c>
      <c r="C7" s="58">
        <v>1.2</v>
      </c>
    </row>
    <row r="9" spans="1:17" ht="30" customHeight="1" x14ac:dyDescent="0.2">
      <c r="A9" s="32" t="s">
        <v>356</v>
      </c>
      <c r="B9" s="32" t="s">
        <v>357</v>
      </c>
      <c r="C9" s="32" t="s">
        <v>358</v>
      </c>
      <c r="D9" s="32" t="s">
        <v>55</v>
      </c>
      <c r="E9" s="32" t="s">
        <v>56</v>
      </c>
      <c r="F9" s="32" t="s">
        <v>57</v>
      </c>
      <c r="G9" s="32" t="s">
        <v>58</v>
      </c>
      <c r="H9" s="32" t="s">
        <v>59</v>
      </c>
      <c r="I9" s="32" t="s">
        <v>60</v>
      </c>
      <c r="J9" s="32" t="s">
        <v>61</v>
      </c>
      <c r="K9" s="32" t="s">
        <v>62</v>
      </c>
      <c r="L9" s="32" t="s">
        <v>63</v>
      </c>
      <c r="M9" s="32" t="s">
        <v>64</v>
      </c>
      <c r="N9" s="32" t="s">
        <v>65</v>
      </c>
      <c r="O9" s="32" t="s">
        <v>42</v>
      </c>
      <c r="P9" s="32" t="s">
        <v>359</v>
      </c>
      <c r="Q9" s="59" t="s">
        <v>360</v>
      </c>
    </row>
    <row r="10" spans="1:17" ht="22.5" customHeight="1" x14ac:dyDescent="0.25">
      <c r="A10" s="34" t="s">
        <v>361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22.5" customHeight="1" x14ac:dyDescent="0.2">
      <c r="A11" s="22" t="s">
        <v>217</v>
      </c>
      <c r="B11" s="46" t="s">
        <v>362</v>
      </c>
      <c r="C11" s="60"/>
      <c r="D11" s="47">
        <f>CPC!D8</f>
        <v>6460000</v>
      </c>
      <c r="E11" s="47">
        <f>CPC!E8</f>
        <v>6862000</v>
      </c>
      <c r="F11" s="47">
        <f>CPC!F8</f>
        <v>7530000</v>
      </c>
      <c r="G11" s="47">
        <f>CPC!G8</f>
        <v>7139000</v>
      </c>
      <c r="H11" s="47">
        <f>CPC!H8</f>
        <v>7506000</v>
      </c>
      <c r="I11" s="47">
        <f>CPC!I8</f>
        <v>7804000</v>
      </c>
      <c r="J11" s="47">
        <f>CPC!J8</f>
        <v>7378000</v>
      </c>
      <c r="K11" s="47">
        <f>CPC!K8</f>
        <v>5968000</v>
      </c>
      <c r="L11" s="47">
        <f>CPC!L8</f>
        <v>7347000</v>
      </c>
      <c r="M11" s="47">
        <f>CPC!M8</f>
        <v>7894000</v>
      </c>
      <c r="N11" s="47">
        <f>CPC!N8</f>
        <v>7867000</v>
      </c>
      <c r="O11" s="47">
        <f>CPC!O8</f>
        <v>8220000</v>
      </c>
      <c r="P11" s="61">
        <f>CPC!P8</f>
        <v>87975000</v>
      </c>
      <c r="Q11" s="62">
        <f t="shared" ref="Q11:Q17" si="0">IFERROR(INDEX($D11:$O11,MATCH($C$4,$D$9:$O$9,0)),"–")</f>
        <v>8220000</v>
      </c>
    </row>
    <row r="12" spans="1:17" ht="22.5" customHeight="1" x14ac:dyDescent="0.2">
      <c r="A12" s="22" t="s">
        <v>363</v>
      </c>
      <c r="B12" s="46" t="s">
        <v>364</v>
      </c>
      <c r="C12" s="60"/>
      <c r="D12" s="63" t="s">
        <v>365</v>
      </c>
      <c r="E12" s="63">
        <f t="shared" ref="E12:O12" si="1">IFERROR(E11/D11-1,"–")</f>
        <v>6.2229102167182582E-2</v>
      </c>
      <c r="F12" s="63">
        <f t="shared" si="1"/>
        <v>9.7347712037306966E-2</v>
      </c>
      <c r="G12" s="63">
        <f t="shared" si="1"/>
        <v>-5.1925630810092938E-2</v>
      </c>
      <c r="H12" s="63">
        <f t="shared" si="1"/>
        <v>5.1407760190502971E-2</v>
      </c>
      <c r="I12" s="63">
        <f t="shared" si="1"/>
        <v>3.970157207567282E-2</v>
      </c>
      <c r="J12" s="63">
        <f t="shared" si="1"/>
        <v>-5.4587391081496683E-2</v>
      </c>
      <c r="K12" s="63">
        <f t="shared" si="1"/>
        <v>-0.19110870154513415</v>
      </c>
      <c r="L12" s="63">
        <f t="shared" si="1"/>
        <v>0.23106568364611269</v>
      </c>
      <c r="M12" s="63">
        <f t="shared" si="1"/>
        <v>7.4452157343133152E-2</v>
      </c>
      <c r="N12" s="63">
        <f t="shared" si="1"/>
        <v>-3.4203192297947993E-3</v>
      </c>
      <c r="O12" s="63">
        <f t="shared" si="1"/>
        <v>4.4870980043218545E-2</v>
      </c>
      <c r="P12" s="64" t="s">
        <v>365</v>
      </c>
      <c r="Q12" s="65">
        <f t="shared" si="0"/>
        <v>4.4870980043218545E-2</v>
      </c>
    </row>
    <row r="13" spans="1:17" ht="22.5" customHeight="1" x14ac:dyDescent="0.2">
      <c r="A13" s="22" t="s">
        <v>366</v>
      </c>
      <c r="B13" s="46" t="s">
        <v>362</v>
      </c>
      <c r="C13" s="60"/>
      <c r="D13" s="47">
        <f>CPC!D24</f>
        <v>547500</v>
      </c>
      <c r="E13" s="47">
        <f>CPC!E24</f>
        <v>946500</v>
      </c>
      <c r="F13" s="47">
        <f>CPC!F24</f>
        <v>1051500</v>
      </c>
      <c r="G13" s="47">
        <f>CPC!G24</f>
        <v>815500</v>
      </c>
      <c r="H13" s="47">
        <f>CPC!H24</f>
        <v>1101500</v>
      </c>
      <c r="I13" s="47">
        <f>CPC!I24</f>
        <v>758500</v>
      </c>
      <c r="J13" s="47">
        <f>CPC!J24</f>
        <v>1031500</v>
      </c>
      <c r="K13" s="47">
        <f>CPC!K24</f>
        <v>330500</v>
      </c>
      <c r="L13" s="47">
        <f>CPC!L24</f>
        <v>871500</v>
      </c>
      <c r="M13" s="47">
        <f>CPC!M24</f>
        <v>1387500</v>
      </c>
      <c r="N13" s="47">
        <f>CPC!N24</f>
        <v>1112500</v>
      </c>
      <c r="O13" s="47">
        <f>CPC!O24</f>
        <v>1137500</v>
      </c>
      <c r="P13" s="61">
        <f>CPC!P24</f>
        <v>11092000</v>
      </c>
      <c r="Q13" s="62">
        <f t="shared" si="0"/>
        <v>1137500</v>
      </c>
    </row>
    <row r="14" spans="1:17" ht="22.5" customHeight="1" x14ac:dyDescent="0.2">
      <c r="A14" s="22" t="s">
        <v>367</v>
      </c>
      <c r="B14" s="46" t="s">
        <v>364</v>
      </c>
      <c r="C14" s="60"/>
      <c r="D14" s="63" t="s">
        <v>365</v>
      </c>
      <c r="E14" s="63">
        <f t="shared" ref="E14:O14" si="2">IFERROR(E13/D13-1,"–")</f>
        <v>0.72876712328767113</v>
      </c>
      <c r="F14" s="63">
        <f t="shared" si="2"/>
        <v>0.11093502377179076</v>
      </c>
      <c r="G14" s="63">
        <f t="shared" si="2"/>
        <v>-0.22444127436994765</v>
      </c>
      <c r="H14" s="63">
        <f t="shared" si="2"/>
        <v>0.35070508890251384</v>
      </c>
      <c r="I14" s="63">
        <f t="shared" si="2"/>
        <v>-0.31139355424421244</v>
      </c>
      <c r="J14" s="63">
        <f t="shared" si="2"/>
        <v>0.35992089650626236</v>
      </c>
      <c r="K14" s="63">
        <f t="shared" si="2"/>
        <v>-0.67959282598158022</v>
      </c>
      <c r="L14" s="63">
        <f t="shared" si="2"/>
        <v>1.6369137670196672</v>
      </c>
      <c r="M14" s="63">
        <f t="shared" si="2"/>
        <v>0.59208261617900182</v>
      </c>
      <c r="N14" s="63">
        <f t="shared" si="2"/>
        <v>-0.19819819819819817</v>
      </c>
      <c r="O14" s="63">
        <f t="shared" si="2"/>
        <v>2.2471910112359605E-2</v>
      </c>
      <c r="P14" s="64" t="s">
        <v>365</v>
      </c>
      <c r="Q14" s="65">
        <f t="shared" si="0"/>
        <v>2.2471910112359605E-2</v>
      </c>
    </row>
    <row r="15" spans="1:17" ht="22.5" customHeight="1" x14ac:dyDescent="0.2">
      <c r="A15" s="20" t="s">
        <v>368</v>
      </c>
      <c r="B15" s="46" t="s">
        <v>364</v>
      </c>
      <c r="C15" s="60" t="s">
        <v>369</v>
      </c>
      <c r="D15" s="66">
        <f t="shared" ref="D15:P15" si="3">IFERROR(D13/D11,0)</f>
        <v>8.4752321981424142E-2</v>
      </c>
      <c r="E15" s="66">
        <f t="shared" si="3"/>
        <v>0.13793354707082484</v>
      </c>
      <c r="F15" s="66">
        <f t="shared" si="3"/>
        <v>0.1396414342629482</v>
      </c>
      <c r="G15" s="66">
        <f t="shared" si="3"/>
        <v>0.11423168510995937</v>
      </c>
      <c r="H15" s="66">
        <f t="shared" si="3"/>
        <v>0.14674926725286438</v>
      </c>
      <c r="I15" s="66">
        <f t="shared" si="3"/>
        <v>9.7193746796514602E-2</v>
      </c>
      <c r="J15" s="66">
        <f t="shared" si="3"/>
        <v>0.13980753591759285</v>
      </c>
      <c r="K15" s="66">
        <f t="shared" si="3"/>
        <v>5.537868632707775E-2</v>
      </c>
      <c r="L15" s="66">
        <f t="shared" si="3"/>
        <v>0.11861984483462638</v>
      </c>
      <c r="M15" s="66">
        <f t="shared" si="3"/>
        <v>0.17576640486445402</v>
      </c>
      <c r="N15" s="66">
        <f t="shared" si="3"/>
        <v>0.14141349942799034</v>
      </c>
      <c r="O15" s="66">
        <f t="shared" si="3"/>
        <v>0.13838199513381996</v>
      </c>
      <c r="P15" s="67">
        <f t="shared" si="3"/>
        <v>0.12608127308894573</v>
      </c>
      <c r="Q15" s="68">
        <f t="shared" si="0"/>
        <v>0.13838199513381996</v>
      </c>
    </row>
    <row r="16" spans="1:17" ht="22.5" customHeight="1" x14ac:dyDescent="0.2">
      <c r="A16" s="20" t="s">
        <v>370</v>
      </c>
      <c r="B16" s="46" t="s">
        <v>371</v>
      </c>
      <c r="C16" s="60" t="s">
        <v>372</v>
      </c>
      <c r="D16" s="69" t="s">
        <v>365</v>
      </c>
      <c r="E16" s="69">
        <f t="shared" ref="E16:O16" si="4">IF(OR(E12="–",E14="–"),"–",IF(OR(ABS(E12)&lt;$C$5,D13&lt;=0),"n.s.",ROUND(E14/E12,1)))</f>
        <v>11.7</v>
      </c>
      <c r="F16" s="69">
        <f t="shared" si="4"/>
        <v>1.1000000000000001</v>
      </c>
      <c r="G16" s="69">
        <f t="shared" si="4"/>
        <v>4.3</v>
      </c>
      <c r="H16" s="69">
        <f t="shared" si="4"/>
        <v>6.8</v>
      </c>
      <c r="I16" s="69">
        <f t="shared" si="4"/>
        <v>-7.8</v>
      </c>
      <c r="J16" s="69">
        <f t="shared" si="4"/>
        <v>-6.6</v>
      </c>
      <c r="K16" s="69">
        <f t="shared" si="4"/>
        <v>3.6</v>
      </c>
      <c r="L16" s="69">
        <f t="shared" si="4"/>
        <v>7.1</v>
      </c>
      <c r="M16" s="69">
        <f t="shared" si="4"/>
        <v>8</v>
      </c>
      <c r="N16" s="69" t="str">
        <f t="shared" si="4"/>
        <v>n.s.</v>
      </c>
      <c r="O16" s="69">
        <f t="shared" si="4"/>
        <v>0.5</v>
      </c>
      <c r="P16" s="70" t="s">
        <v>365</v>
      </c>
      <c r="Q16" s="71">
        <f t="shared" si="0"/>
        <v>0.5</v>
      </c>
    </row>
    <row r="17" spans="1:17" ht="51" customHeight="1" x14ac:dyDescent="0.2">
      <c r="A17" s="20" t="s">
        <v>373</v>
      </c>
      <c r="B17" s="46"/>
      <c r="C17" s="60" t="s">
        <v>374</v>
      </c>
      <c r="D17" s="72" t="s">
        <v>365</v>
      </c>
      <c r="E17" s="72" t="str">
        <f t="shared" ref="E17:O17" si="5">IF(E16="–","–",IF(E16="n.s.","n.s.",IF(E12&gt;0,IF(E16&gt;$C$7,"▲ Levier fort",IF(E16&gt;=$C$6,"▲ Proportionnel",IF(E16&gt;0,"▲ Marge érodée","▲ Sens contraire"))),IF(E16&gt;$C$7,"▼ REX chute plus vite",IF(E16&gt;=$C$6,"▼ Proportionnel",IF(E16&gt;0,"▼ REX résiste","▼ REX progresse"))))))</f>
        <v>▲ Levier fort</v>
      </c>
      <c r="F17" s="72" t="str">
        <f t="shared" si="5"/>
        <v>▲ Proportionnel</v>
      </c>
      <c r="G17" s="72" t="str">
        <f t="shared" si="5"/>
        <v>▼ REX chute plus vite</v>
      </c>
      <c r="H17" s="72" t="str">
        <f t="shared" si="5"/>
        <v>▲ Levier fort</v>
      </c>
      <c r="I17" s="72" t="str">
        <f t="shared" si="5"/>
        <v>▲ Sens contraire</v>
      </c>
      <c r="J17" s="72" t="str">
        <f t="shared" si="5"/>
        <v>▼ REX progresse</v>
      </c>
      <c r="K17" s="72" t="str">
        <f t="shared" si="5"/>
        <v>▼ REX chute plus vite</v>
      </c>
      <c r="L17" s="72" t="str">
        <f t="shared" si="5"/>
        <v>▲ Levier fort</v>
      </c>
      <c r="M17" s="72" t="str">
        <f t="shared" si="5"/>
        <v>▲ Levier fort</v>
      </c>
      <c r="N17" s="72" t="str">
        <f t="shared" si="5"/>
        <v>n.s.</v>
      </c>
      <c r="O17" s="72" t="str">
        <f t="shared" si="5"/>
        <v>▲ Marge érodée</v>
      </c>
      <c r="P17" s="73" t="s">
        <v>365</v>
      </c>
      <c r="Q17" s="74" t="str">
        <f t="shared" si="0"/>
        <v>▲ Marge érodée</v>
      </c>
    </row>
    <row r="18" spans="1:17" ht="21" customHeight="1" x14ac:dyDescent="0.25">
      <c r="A18" s="34" t="s">
        <v>375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</row>
    <row r="19" spans="1:17" ht="21" customHeight="1" x14ac:dyDescent="0.2">
      <c r="A19" s="22" t="s">
        <v>376</v>
      </c>
      <c r="B19" s="46" t="s">
        <v>364</v>
      </c>
      <c r="C19" s="60" t="s">
        <v>377</v>
      </c>
      <c r="D19" s="66">
        <f>IFERROR(CPC!D20/D11,0)</f>
        <v>0.28931888544891643</v>
      </c>
      <c r="E19" s="66">
        <f>IFERROR(CPC!E20/E11,0)</f>
        <v>0.27338968230836491</v>
      </c>
      <c r="F19" s="66">
        <f>IFERROR(CPC!F20/F11,0)</f>
        <v>0.25019920318725097</v>
      </c>
      <c r="G19" s="66">
        <f>IFERROR(CPC!G20/G11,0)</f>
        <v>0.26488303683989356</v>
      </c>
      <c r="H19" s="66">
        <f>IFERROR(CPC!H20/H11,0)</f>
        <v>0.25286437516653343</v>
      </c>
      <c r="I19" s="66">
        <f>IFERROR(CPC!I20/I11,0)</f>
        <v>0.24423372629420809</v>
      </c>
      <c r="J19" s="66">
        <f>IFERROR(CPC!J20/J11,0)</f>
        <v>0.25928435890485224</v>
      </c>
      <c r="K19" s="66">
        <f>IFERROR(CPC!K20/K11,0)</f>
        <v>0.3218833780160858</v>
      </c>
      <c r="L19" s="66">
        <f>IFERROR(CPC!L20/L11,0)</f>
        <v>0.26242003538859399</v>
      </c>
      <c r="M19" s="66">
        <f>IFERROR(CPC!M20/M11,0)</f>
        <v>0.24524955662528503</v>
      </c>
      <c r="N19" s="66">
        <f>IFERROR(CPC!N20/N11,0)</f>
        <v>0.24698106012457099</v>
      </c>
      <c r="O19" s="66">
        <f>IFERROR(CPC!O20/O11,0)</f>
        <v>0.25486618004866179</v>
      </c>
      <c r="P19" s="67">
        <f>IFERROR(CPC!P20/P11,0)</f>
        <v>0.26211992043194088</v>
      </c>
      <c r="Q19" s="68">
        <f t="shared" ref="Q19:Q27" si="6">IFERROR(INDEX($D19:$O19,MATCH($C$4,$D$9:$O$9,0)),"–")</f>
        <v>0.25486618004866179</v>
      </c>
    </row>
    <row r="20" spans="1:17" ht="21" customHeight="1" x14ac:dyDescent="0.2">
      <c r="A20" s="22" t="s">
        <v>378</v>
      </c>
      <c r="B20" s="46" t="s">
        <v>364</v>
      </c>
      <c r="C20" s="60" t="s">
        <v>379</v>
      </c>
      <c r="D20" s="66">
        <f>IFERROR(ESG!D41/D11,0)</f>
        <v>0.11722910216718266</v>
      </c>
      <c r="E20" s="66">
        <f>IFERROR(ESG!E41/E11,0)</f>
        <v>0.16331973185660156</v>
      </c>
      <c r="F20" s="66">
        <f>IFERROR(ESG!F41/F11,0)</f>
        <v>0.15630810092961486</v>
      </c>
      <c r="G20" s="66">
        <f>IFERROR(ESG!G41/G11,0)</f>
        <v>0.14158845776719428</v>
      </c>
      <c r="H20" s="66">
        <f>IFERROR(ESG!H41/H11,0)</f>
        <v>0.1642019717559286</v>
      </c>
      <c r="I20" s="66">
        <f>IFERROR(ESG!I41/I11,0)</f>
        <v>0.1197206560738083</v>
      </c>
      <c r="J20" s="66">
        <f>IFERROR(ESG!J41/J11,0)</f>
        <v>0.16504472756844674</v>
      </c>
      <c r="K20" s="66">
        <f>IFERROR(ESG!K41/K11,0)</f>
        <v>0.10234584450402144</v>
      </c>
      <c r="L20" s="66">
        <f>IFERROR(ESG!L41/L11,0)</f>
        <v>0.14675377705185791</v>
      </c>
      <c r="M20" s="66">
        <f>IFERROR(ESG!M41/M11,0)</f>
        <v>0.18050418039016974</v>
      </c>
      <c r="N20" s="66">
        <f>IFERROR(ESG!N41/N11,0)</f>
        <v>0.15755688318291597</v>
      </c>
      <c r="O20" s="66">
        <f>IFERROR(ESG!O41/O11,0)</f>
        <v>0.15334549878345499</v>
      </c>
      <c r="P20" s="67">
        <f>IFERROR(ESG!P41/P11,0)</f>
        <v>0.14849900539926114</v>
      </c>
      <c r="Q20" s="68">
        <f t="shared" si="6"/>
        <v>0.15334549878345499</v>
      </c>
    </row>
    <row r="21" spans="1:17" ht="21" customHeight="1" x14ac:dyDescent="0.2">
      <c r="A21" s="22" t="s">
        <v>380</v>
      </c>
      <c r="B21" s="46" t="s">
        <v>362</v>
      </c>
      <c r="C21" s="60"/>
      <c r="D21" s="47">
        <f>CPC!D55</f>
        <v>374800</v>
      </c>
      <c r="E21" s="47">
        <f>CPC!E55</f>
        <v>738200</v>
      </c>
      <c r="F21" s="47">
        <f>CPC!F55</f>
        <v>794500</v>
      </c>
      <c r="G21" s="47">
        <f>CPC!G55</f>
        <v>628300</v>
      </c>
      <c r="H21" s="47">
        <f>CPC!H55</f>
        <v>835000</v>
      </c>
      <c r="I21" s="47">
        <f>CPC!I55</f>
        <v>536800</v>
      </c>
      <c r="J21" s="47">
        <f>CPC!J55</f>
        <v>820200</v>
      </c>
      <c r="K21" s="47">
        <f>CPC!K55</f>
        <v>213300</v>
      </c>
      <c r="L21" s="47">
        <f>CPC!L55</f>
        <v>680700</v>
      </c>
      <c r="M21" s="47">
        <f>CPC!M55</f>
        <v>1067400</v>
      </c>
      <c r="N21" s="47">
        <f>CPC!N55</f>
        <v>850000</v>
      </c>
      <c r="O21" s="47">
        <f>CPC!O55</f>
        <v>871000</v>
      </c>
      <c r="P21" s="61">
        <f>CPC!P55</f>
        <v>8410200</v>
      </c>
      <c r="Q21" s="62">
        <f t="shared" si="6"/>
        <v>871000</v>
      </c>
    </row>
    <row r="22" spans="1:17" ht="21" customHeight="1" x14ac:dyDescent="0.2">
      <c r="A22" s="22" t="s">
        <v>381</v>
      </c>
      <c r="B22" s="46" t="s">
        <v>362</v>
      </c>
      <c r="C22" s="60"/>
      <c r="D22" s="47">
        <f>Balance!F81</f>
        <v>345400</v>
      </c>
      <c r="E22" s="47">
        <f>Balance!G81</f>
        <v>689100</v>
      </c>
      <c r="F22" s="47">
        <f>Balance!H81</f>
        <v>731500</v>
      </c>
      <c r="G22" s="47">
        <f>Balance!I81</f>
        <v>579200</v>
      </c>
      <c r="H22" s="47">
        <f>Balance!J81</f>
        <v>791900</v>
      </c>
      <c r="I22" s="47">
        <f>Balance!K81</f>
        <v>494100</v>
      </c>
      <c r="J22" s="47">
        <f>Balance!L81</f>
        <v>757600</v>
      </c>
      <c r="K22" s="47">
        <f>Balance!M81</f>
        <v>195300</v>
      </c>
      <c r="L22" s="47">
        <f>Balance!N81</f>
        <v>625300</v>
      </c>
      <c r="M22" s="47">
        <f>Balance!O81</f>
        <v>1010900</v>
      </c>
      <c r="N22" s="47">
        <f>Balance!P81</f>
        <v>806900</v>
      </c>
      <c r="O22" s="47">
        <f>Balance!Q81</f>
        <v>795800</v>
      </c>
      <c r="P22" s="61">
        <f>Balance!R81</f>
        <v>7823000</v>
      </c>
      <c r="Q22" s="62">
        <f t="shared" si="6"/>
        <v>795800</v>
      </c>
    </row>
    <row r="23" spans="1:17" ht="21" customHeight="1" x14ac:dyDescent="0.2">
      <c r="A23" s="20" t="s">
        <v>382</v>
      </c>
      <c r="B23" s="46" t="s">
        <v>364</v>
      </c>
      <c r="C23" s="60" t="s">
        <v>383</v>
      </c>
      <c r="D23" s="63">
        <f t="shared" ref="D23:P23" si="7">IFERROR(D21/D22-1,"–")</f>
        <v>8.5118702953097758E-2</v>
      </c>
      <c r="E23" s="63">
        <f t="shared" si="7"/>
        <v>7.1252358148309325E-2</v>
      </c>
      <c r="F23" s="63">
        <f t="shared" si="7"/>
        <v>8.6124401913875603E-2</v>
      </c>
      <c r="G23" s="63">
        <f t="shared" si="7"/>
        <v>8.4772099447513849E-2</v>
      </c>
      <c r="H23" s="63">
        <f t="shared" si="7"/>
        <v>5.44260638969567E-2</v>
      </c>
      <c r="I23" s="63">
        <f t="shared" si="7"/>
        <v>8.6419753086419693E-2</v>
      </c>
      <c r="J23" s="63">
        <f t="shared" si="7"/>
        <v>8.2629355860612375E-2</v>
      </c>
      <c r="K23" s="63">
        <f t="shared" si="7"/>
        <v>9.2165898617511566E-2</v>
      </c>
      <c r="L23" s="63">
        <f t="shared" si="7"/>
        <v>8.8597473212857825E-2</v>
      </c>
      <c r="M23" s="63">
        <f t="shared" si="7"/>
        <v>5.58907903848056E-2</v>
      </c>
      <c r="N23" s="63">
        <f t="shared" si="7"/>
        <v>5.3414301648283535E-2</v>
      </c>
      <c r="O23" s="63">
        <f t="shared" si="7"/>
        <v>9.4496104548881688E-2</v>
      </c>
      <c r="P23" s="75">
        <f t="shared" si="7"/>
        <v>7.506071839447781E-2</v>
      </c>
      <c r="Q23" s="65">
        <f t="shared" si="6"/>
        <v>9.4496104548881688E-2</v>
      </c>
    </row>
    <row r="24" spans="1:17" ht="21" customHeight="1" x14ac:dyDescent="0.2">
      <c r="A24" s="22" t="s">
        <v>384</v>
      </c>
      <c r="B24" s="46" t="s">
        <v>364</v>
      </c>
      <c r="C24" s="60" t="s">
        <v>385</v>
      </c>
      <c r="D24" s="66">
        <f>IFERROR(CPC!D18/D11,0)</f>
        <v>6.5325077399380801E-2</v>
      </c>
      <c r="E24" s="66">
        <f>IFERROR(CPC!E18/E11,0)</f>
        <v>6.4412707665403676E-2</v>
      </c>
      <c r="F24" s="66">
        <f>IFERROR(CPC!F18/F11,0)</f>
        <v>6.0823373173970782E-2</v>
      </c>
      <c r="G24" s="66">
        <f>IFERROR(CPC!G18/G11,0)</f>
        <v>6.219358453564925E-2</v>
      </c>
      <c r="H24" s="66">
        <f>IFERROR(CPC!H18/H11,0)</f>
        <v>7.3541167066346919E-2</v>
      </c>
      <c r="I24" s="66">
        <f>IFERROR(CPC!I18/I11,0)</f>
        <v>0.11391594054331113</v>
      </c>
      <c r="J24" s="66">
        <f>IFERROR(CPC!J18/J11,0)</f>
        <v>6.1669829222011384E-2</v>
      </c>
      <c r="K24" s="66">
        <f>IFERROR(CPC!K18/K11,0)</f>
        <v>6.8364611260053623E-2</v>
      </c>
      <c r="L24" s="66">
        <f>IFERROR(CPC!L18/L11,0)</f>
        <v>6.1249489587586768E-2</v>
      </c>
      <c r="M24" s="66">
        <f>IFERROR(CPC!M18/M11,0)</f>
        <v>6.0298961236382065E-2</v>
      </c>
      <c r="N24" s="66">
        <f>IFERROR(CPC!N18/N11,0)</f>
        <v>5.9489004703190546E-2</v>
      </c>
      <c r="O24" s="66">
        <f>IFERROR(CPC!O18/O11,0)</f>
        <v>5.8637469586374696E-2</v>
      </c>
      <c r="P24" s="67">
        <f>IFERROR(CPC!P18/P11,0)</f>
        <v>6.7587382779198638E-2</v>
      </c>
      <c r="Q24" s="68">
        <f t="shared" si="6"/>
        <v>5.8637469586374696E-2</v>
      </c>
    </row>
    <row r="25" spans="1:17" ht="21" customHeight="1" x14ac:dyDescent="0.2">
      <c r="A25" s="22" t="s">
        <v>386</v>
      </c>
      <c r="B25" s="46" t="s">
        <v>362</v>
      </c>
      <c r="C25" s="60" t="s">
        <v>387</v>
      </c>
      <c r="D25" s="47">
        <f>IFERROR(SUMPRODUCT((LEFT(Balance!$A$6:$A$75,4)="6121")*Balance!F$6:F$75)+SUMPRODUCT((LEFT(Balance!$A$6:$A$75,4)="6122")*Balance!F$6:F$75)+SUMPRODUCT((LEFT(Balance!$A$6:$A$75,4)="6124")*Balance!F$6:F$75)+SUMPRODUCT((LEFT(Balance!$A$6:$A$75,4)="6125")*Balance!F$6:F$75)+SUMPRODUCT((LEFT(Balance!$A$6:$A$75,4)="6126")*Balance!F$6:F$75)+SUMPRODUCT((LEFT(Balance!$A$6:$A$75,4)="6142")*Balance!F$6:F$75),0)</f>
        <v>3202000</v>
      </c>
      <c r="E25" s="47">
        <f>IFERROR(SUMPRODUCT((LEFT(Balance!$A$6:$A$75,4)="6121")*Balance!G$6:G$75)+SUMPRODUCT((LEFT(Balance!$A$6:$A$75,4)="6122")*Balance!G$6:G$75)+SUMPRODUCT((LEFT(Balance!$A$6:$A$75,4)="6124")*Balance!G$6:G$75)+SUMPRODUCT((LEFT(Balance!$A$6:$A$75,4)="6125")*Balance!G$6:G$75)+SUMPRODUCT((LEFT(Balance!$A$6:$A$75,4)="6126")*Balance!G$6:G$75)+SUMPRODUCT((LEFT(Balance!$A$6:$A$75,4)="6142")*Balance!G$6:G$75),0)</f>
        <v>3626000</v>
      </c>
      <c r="F25" s="47">
        <f>IFERROR(SUMPRODUCT((LEFT(Balance!$A$6:$A$75,4)="6121")*Balance!H$6:H$75)+SUMPRODUCT((LEFT(Balance!$A$6:$A$75,4)="6122")*Balance!H$6:H$75)+SUMPRODUCT((LEFT(Balance!$A$6:$A$75,4)="6124")*Balance!H$6:H$75)+SUMPRODUCT((LEFT(Balance!$A$6:$A$75,4)="6125")*Balance!H$6:H$75)+SUMPRODUCT((LEFT(Balance!$A$6:$A$75,4)="6126")*Balance!H$6:H$75)+SUMPRODUCT((LEFT(Balance!$A$6:$A$75,4)="6142")*Balance!H$6:H$75),0)</f>
        <v>3761000</v>
      </c>
      <c r="G25" s="47">
        <f>IFERROR(SUMPRODUCT((LEFT(Balance!$A$6:$A$75,4)="6121")*Balance!I$6:I$75)+SUMPRODUCT((LEFT(Balance!$A$6:$A$75,4)="6122")*Balance!I$6:I$75)+SUMPRODUCT((LEFT(Balance!$A$6:$A$75,4)="6124")*Balance!I$6:I$75)+SUMPRODUCT((LEFT(Balance!$A$6:$A$75,4)="6125")*Balance!I$6:I$75)+SUMPRODUCT((LEFT(Balance!$A$6:$A$75,4)="6126")*Balance!I$6:I$75)+SUMPRODUCT((LEFT(Balance!$A$6:$A$75,4)="6142")*Balance!I$6:I$75),0)</f>
        <v>3517000</v>
      </c>
      <c r="H25" s="47">
        <f>IFERROR(SUMPRODUCT((LEFT(Balance!$A$6:$A$75,4)="6121")*Balance!J$6:J$75)+SUMPRODUCT((LEFT(Balance!$A$6:$A$75,4)="6122")*Balance!J$6:J$75)+SUMPRODUCT((LEFT(Balance!$A$6:$A$75,4)="6124")*Balance!J$6:J$75)+SUMPRODUCT((LEFT(Balance!$A$6:$A$75,4)="6125")*Balance!J$6:J$75)+SUMPRODUCT((LEFT(Balance!$A$6:$A$75,4)="6126")*Balance!J$6:J$75)+SUMPRODUCT((LEFT(Balance!$A$6:$A$75,4)="6142")*Balance!J$6:J$75),0)</f>
        <v>3929000</v>
      </c>
      <c r="I25" s="47">
        <f>IFERROR(SUMPRODUCT((LEFT(Balance!$A$6:$A$75,4)="6121")*Balance!K$6:K$75)+SUMPRODUCT((LEFT(Balance!$A$6:$A$75,4)="6122")*Balance!K$6:K$75)+SUMPRODUCT((LEFT(Balance!$A$6:$A$75,4)="6124")*Balance!K$6:K$75)+SUMPRODUCT((LEFT(Balance!$A$6:$A$75,4)="6125")*Balance!K$6:K$75)+SUMPRODUCT((LEFT(Balance!$A$6:$A$75,4)="6126")*Balance!K$6:K$75)+SUMPRODUCT((LEFT(Balance!$A$6:$A$75,4)="6142")*Balance!K$6:K$75),0)</f>
        <v>3995000</v>
      </c>
      <c r="J25" s="47">
        <f>IFERROR(SUMPRODUCT((LEFT(Balance!$A$6:$A$75,4)="6121")*Balance!L$6:L$75)+SUMPRODUCT((LEFT(Balance!$A$6:$A$75,4)="6122")*Balance!L$6:L$75)+SUMPRODUCT((LEFT(Balance!$A$6:$A$75,4)="6124")*Balance!L$6:L$75)+SUMPRODUCT((LEFT(Balance!$A$6:$A$75,4)="6125")*Balance!L$6:L$75)+SUMPRODUCT((LEFT(Balance!$A$6:$A$75,4)="6126")*Balance!L$6:L$75)+SUMPRODUCT((LEFT(Balance!$A$6:$A$75,4)="6142")*Balance!L$6:L$75),0)</f>
        <v>3779000</v>
      </c>
      <c r="K25" s="47">
        <f>IFERROR(SUMPRODUCT((LEFT(Balance!$A$6:$A$75,4)="6121")*Balance!M$6:M$75)+SUMPRODUCT((LEFT(Balance!$A$6:$A$75,4)="6122")*Balance!M$6:M$75)+SUMPRODUCT((LEFT(Balance!$A$6:$A$75,4)="6124")*Balance!M$6:M$75)+SUMPRODUCT((LEFT(Balance!$A$6:$A$75,4)="6125")*Balance!M$6:M$75)+SUMPRODUCT((LEFT(Balance!$A$6:$A$75,4)="6126")*Balance!M$6:M$75)+SUMPRODUCT((LEFT(Balance!$A$6:$A$75,4)="6142")*Balance!M$6:M$75),0)</f>
        <v>3034000</v>
      </c>
      <c r="L25" s="47">
        <f>IFERROR(SUMPRODUCT((LEFT(Balance!$A$6:$A$75,4)="6121")*Balance!N$6:N$75)+SUMPRODUCT((LEFT(Balance!$A$6:$A$75,4)="6122")*Balance!N$6:N$75)+SUMPRODUCT((LEFT(Balance!$A$6:$A$75,4)="6124")*Balance!N$6:N$75)+SUMPRODUCT((LEFT(Balance!$A$6:$A$75,4)="6125")*Balance!N$6:N$75)+SUMPRODUCT((LEFT(Balance!$A$6:$A$75,4)="6126")*Balance!N$6:N$75)+SUMPRODUCT((LEFT(Balance!$A$6:$A$75,4)="6142")*Balance!N$6:N$75),0)</f>
        <v>3630000</v>
      </c>
      <c r="M25" s="47">
        <f>IFERROR(SUMPRODUCT((LEFT(Balance!$A$6:$A$75,4)="6121")*Balance!O$6:O$75)+SUMPRODUCT((LEFT(Balance!$A$6:$A$75,4)="6122")*Balance!O$6:O$75)+SUMPRODUCT((LEFT(Balance!$A$6:$A$75,4)="6124")*Balance!O$6:O$75)+SUMPRODUCT((LEFT(Balance!$A$6:$A$75,4)="6125")*Balance!O$6:O$75)+SUMPRODUCT((LEFT(Balance!$A$6:$A$75,4)="6126")*Balance!O$6:O$75)+SUMPRODUCT((LEFT(Balance!$A$6:$A$75,4)="6142")*Balance!O$6:O$75),0)</f>
        <v>4178000</v>
      </c>
      <c r="N25" s="47">
        <f>IFERROR(SUMPRODUCT((LEFT(Balance!$A$6:$A$75,4)="6121")*Balance!P$6:P$75)+SUMPRODUCT((LEFT(Balance!$A$6:$A$75,4)="6122")*Balance!P$6:P$75)+SUMPRODUCT((LEFT(Balance!$A$6:$A$75,4)="6124")*Balance!P$6:P$75)+SUMPRODUCT((LEFT(Balance!$A$6:$A$75,4)="6125")*Balance!P$6:P$75)+SUMPRODUCT((LEFT(Balance!$A$6:$A$75,4)="6126")*Balance!P$6:P$75)+SUMPRODUCT((LEFT(Balance!$A$6:$A$75,4)="6142")*Balance!P$6:P$75),0)</f>
        <v>3901000</v>
      </c>
      <c r="O25" s="47">
        <f>IFERROR(SUMPRODUCT((LEFT(Balance!$A$6:$A$75,4)="6121")*Balance!Q$6:Q$75)+SUMPRODUCT((LEFT(Balance!$A$6:$A$75,4)="6122")*Balance!Q$6:Q$75)+SUMPRODUCT((LEFT(Balance!$A$6:$A$75,4)="6124")*Balance!Q$6:Q$75)+SUMPRODUCT((LEFT(Balance!$A$6:$A$75,4)="6125")*Balance!Q$6:Q$75)+SUMPRODUCT((LEFT(Balance!$A$6:$A$75,4)="6126")*Balance!Q$6:Q$75)+SUMPRODUCT((LEFT(Balance!$A$6:$A$75,4)="6142")*Balance!Q$6:Q$75),0)</f>
        <v>4169000</v>
      </c>
      <c r="P25" s="61">
        <f>SUM(D25:O25)</f>
        <v>44721000</v>
      </c>
      <c r="Q25" s="62">
        <f t="shared" si="6"/>
        <v>4169000</v>
      </c>
    </row>
    <row r="26" spans="1:17" ht="21" customHeight="1" x14ac:dyDescent="0.2">
      <c r="A26" s="22" t="s">
        <v>388</v>
      </c>
      <c r="B26" s="46" t="s">
        <v>362</v>
      </c>
      <c r="C26" s="60"/>
      <c r="D26" s="47">
        <f>ESG!D12+CPC!D6-CPC!D16-D25</f>
        <v>3065000</v>
      </c>
      <c r="E26" s="47">
        <f>ESG!E12+CPC!E6-CPC!E16-E25</f>
        <v>3483000</v>
      </c>
      <c r="F26" s="47">
        <f>ESG!F12+CPC!F6-CPC!F16-F25</f>
        <v>3600000</v>
      </c>
      <c r="G26" s="47">
        <f>ESG!G12+CPC!G6-CPC!G16-G25</f>
        <v>3364000</v>
      </c>
      <c r="H26" s="47">
        <f>ESG!H12+CPC!H6-CPC!H16-H25</f>
        <v>3774000</v>
      </c>
      <c r="I26" s="47">
        <f>ESG!I12+CPC!I6-CPC!I16-I25</f>
        <v>3831000</v>
      </c>
      <c r="J26" s="47">
        <f>ESG!J12+CPC!J6-CPC!J16-J25</f>
        <v>3624000</v>
      </c>
      <c r="K26" s="47">
        <f>ESG!K12+CPC!K6-CPC!K16-K25</f>
        <v>2910000</v>
      </c>
      <c r="L26" s="47">
        <f>ESG!L12+CPC!L6-CPC!L16-L25</f>
        <v>3475000</v>
      </c>
      <c r="M26" s="47">
        <f>ESG!M12+CPC!M6-CPC!M16-M25</f>
        <v>4015000</v>
      </c>
      <c r="N26" s="47">
        <f>ESG!N12+CPC!N6-CPC!N16-N25</f>
        <v>3731000</v>
      </c>
      <c r="O26" s="47">
        <f>ESG!O12+CPC!O6-CPC!O16-O25</f>
        <v>3996000</v>
      </c>
      <c r="P26" s="61">
        <f>SUM(D26:O26)</f>
        <v>42868000</v>
      </c>
      <c r="Q26" s="62">
        <f t="shared" si="6"/>
        <v>3996000</v>
      </c>
    </row>
    <row r="27" spans="1:17" ht="21" customHeight="1" x14ac:dyDescent="0.2">
      <c r="A27" s="20" t="s">
        <v>389</v>
      </c>
      <c r="B27" s="46" t="s">
        <v>390</v>
      </c>
      <c r="C27" s="60" t="s">
        <v>391</v>
      </c>
      <c r="D27" s="76">
        <f t="shared" ref="D27:P27" si="8">IF(D13&lt;=0,"n.s.",IFERROR(D26/D13,"n.s."))</f>
        <v>5.5981735159817347</v>
      </c>
      <c r="E27" s="76">
        <f t="shared" si="8"/>
        <v>3.6798732171156896</v>
      </c>
      <c r="F27" s="76">
        <f t="shared" si="8"/>
        <v>3.4236804564907275</v>
      </c>
      <c r="G27" s="76">
        <f t="shared" si="8"/>
        <v>4.1250766400980989</v>
      </c>
      <c r="H27" s="76">
        <f t="shared" si="8"/>
        <v>3.4262369496141627</v>
      </c>
      <c r="I27" s="76">
        <f t="shared" si="8"/>
        <v>5.0507580751483188</v>
      </c>
      <c r="J27" s="76">
        <f t="shared" si="8"/>
        <v>3.5133301017935046</v>
      </c>
      <c r="K27" s="76">
        <f t="shared" si="8"/>
        <v>8.8048411497730719</v>
      </c>
      <c r="L27" s="76">
        <f t="shared" si="8"/>
        <v>3.9873780837636259</v>
      </c>
      <c r="M27" s="76">
        <f t="shared" si="8"/>
        <v>2.8936936936936939</v>
      </c>
      <c r="N27" s="76">
        <f t="shared" si="8"/>
        <v>3.3537078651685395</v>
      </c>
      <c r="O27" s="76">
        <f t="shared" si="8"/>
        <v>3.5129670329670328</v>
      </c>
      <c r="P27" s="77">
        <f t="shared" si="8"/>
        <v>3.8647673999278758</v>
      </c>
      <c r="Q27" s="78">
        <f t="shared" si="6"/>
        <v>3.5129670329670328</v>
      </c>
    </row>
    <row r="28" spans="1:17" ht="21" customHeight="1" x14ac:dyDescent="0.25">
      <c r="A28" s="34" t="s">
        <v>392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</row>
    <row r="29" spans="1:17" ht="21" customHeight="1" x14ac:dyDescent="0.2">
      <c r="A29" s="22" t="s">
        <v>393</v>
      </c>
      <c r="B29" s="46" t="s">
        <v>362</v>
      </c>
      <c r="C29" s="60"/>
      <c r="D29" s="47">
        <f>ESG!D12</f>
        <v>6234000</v>
      </c>
      <c r="E29" s="47">
        <f>ESG!E12</f>
        <v>7074000</v>
      </c>
      <c r="F29" s="47">
        <f>ESG!F12</f>
        <v>7323000</v>
      </c>
      <c r="G29" s="47">
        <f>ESG!G12</f>
        <v>6845000</v>
      </c>
      <c r="H29" s="47">
        <f>ESG!H12</f>
        <v>7665000</v>
      </c>
      <c r="I29" s="47">
        <f>ESG!I12</f>
        <v>7786000</v>
      </c>
      <c r="J29" s="47">
        <f>ESG!J12</f>
        <v>7365000</v>
      </c>
      <c r="K29" s="47">
        <f>ESG!K12</f>
        <v>5914000</v>
      </c>
      <c r="L29" s="47">
        <f>ESG!L12</f>
        <v>7068000</v>
      </c>
      <c r="M29" s="47">
        <f>ESG!M12</f>
        <v>8153000</v>
      </c>
      <c r="N29" s="47">
        <f>ESG!N12</f>
        <v>7592000</v>
      </c>
      <c r="O29" s="47">
        <f>ESG!O12</f>
        <v>8123000</v>
      </c>
      <c r="P29" s="61">
        <f>SUM(D29:O29)</f>
        <v>87142000</v>
      </c>
      <c r="Q29" s="62">
        <f t="shared" ref="Q29:Q35" si="9">IFERROR(INDEX($D29:$O29,MATCH($C$4,$D$9:$O$9,0)),"–")</f>
        <v>8123000</v>
      </c>
    </row>
    <row r="30" spans="1:17" ht="21" customHeight="1" x14ac:dyDescent="0.2">
      <c r="A30" s="22" t="s">
        <v>394</v>
      </c>
      <c r="B30" s="46" t="s">
        <v>362</v>
      </c>
      <c r="C30" s="60"/>
      <c r="D30" s="47">
        <f>ESG!D16</f>
        <v>2759000</v>
      </c>
      <c r="E30" s="47">
        <f>ESG!E16</f>
        <v>3165000</v>
      </c>
      <c r="F30" s="47">
        <f>ESG!F16</f>
        <v>3278000</v>
      </c>
      <c r="G30" s="47">
        <f>ESG!G16</f>
        <v>3049000</v>
      </c>
      <c r="H30" s="47">
        <f>ESG!H16</f>
        <v>3357000</v>
      </c>
      <c r="I30" s="47">
        <f>ESG!I16</f>
        <v>3082000</v>
      </c>
      <c r="J30" s="47">
        <f>ESG!J16</f>
        <v>3302000</v>
      </c>
      <c r="K30" s="47">
        <f>ESG!K16</f>
        <v>2609000</v>
      </c>
      <c r="L30" s="47">
        <f>ESG!L16</f>
        <v>3157000</v>
      </c>
      <c r="M30" s="47">
        <f>ESG!M16</f>
        <v>3681000</v>
      </c>
      <c r="N30" s="47">
        <f>ESG!N16</f>
        <v>3405000</v>
      </c>
      <c r="O30" s="47">
        <f>ESG!O16</f>
        <v>3662000</v>
      </c>
      <c r="P30" s="61">
        <f>SUM(D30:O30)</f>
        <v>38506000</v>
      </c>
      <c r="Q30" s="62">
        <f t="shared" si="9"/>
        <v>3662000</v>
      </c>
    </row>
    <row r="31" spans="1:17" ht="21" customHeight="1" x14ac:dyDescent="0.2">
      <c r="A31" s="20" t="s">
        <v>395</v>
      </c>
      <c r="B31" s="46" t="s">
        <v>364</v>
      </c>
      <c r="C31" s="60" t="s">
        <v>396</v>
      </c>
      <c r="D31" s="66">
        <f t="shared" ref="D31:P31" si="10">IFERROR(D30/D29,0)</f>
        <v>0.44257298684632662</v>
      </c>
      <c r="E31" s="66">
        <f t="shared" si="10"/>
        <v>0.44741306191687868</v>
      </c>
      <c r="F31" s="66">
        <f t="shared" si="10"/>
        <v>0.44763075242387002</v>
      </c>
      <c r="G31" s="66">
        <f t="shared" si="10"/>
        <v>0.4454346238130022</v>
      </c>
      <c r="H31" s="66">
        <f t="shared" si="10"/>
        <v>0.43796477495107633</v>
      </c>
      <c r="I31" s="66">
        <f t="shared" si="10"/>
        <v>0.39583868481890572</v>
      </c>
      <c r="J31" s="66">
        <f t="shared" si="10"/>
        <v>0.44833672776646299</v>
      </c>
      <c r="K31" s="66">
        <f t="shared" si="10"/>
        <v>0.44115657761244503</v>
      </c>
      <c r="L31" s="66">
        <f t="shared" si="10"/>
        <v>0.44666100735710246</v>
      </c>
      <c r="M31" s="66">
        <f t="shared" si="10"/>
        <v>0.45149024898810253</v>
      </c>
      <c r="N31" s="66">
        <f t="shared" si="10"/>
        <v>0.44849841938883034</v>
      </c>
      <c r="O31" s="66">
        <f t="shared" si="10"/>
        <v>0.45081866305552137</v>
      </c>
      <c r="P31" s="67">
        <f t="shared" si="10"/>
        <v>0.44187647747354891</v>
      </c>
      <c r="Q31" s="68">
        <f t="shared" si="9"/>
        <v>0.45081866305552137</v>
      </c>
    </row>
    <row r="32" spans="1:17" ht="21" customHeight="1" x14ac:dyDescent="0.2">
      <c r="A32" s="20" t="s">
        <v>397</v>
      </c>
      <c r="B32" s="46" t="s">
        <v>364</v>
      </c>
      <c r="C32" s="60" t="s">
        <v>398</v>
      </c>
      <c r="D32" s="66">
        <f>IFERROR(CPC!D20/D30,0)</f>
        <v>0.67741935483870963</v>
      </c>
      <c r="E32" s="66">
        <f>IFERROR(CPC!E20/E30,0)</f>
        <v>0.59273301737756712</v>
      </c>
      <c r="F32" s="66">
        <f>IFERROR(CPC!F20/F30,0)</f>
        <v>0.57474069554606466</v>
      </c>
      <c r="G32" s="66">
        <f>IFERROR(CPC!G20/G30,0)</f>
        <v>0.62020334535913413</v>
      </c>
      <c r="H32" s="66">
        <f>IFERROR(CPC!H20/H30,0)</f>
        <v>0.56538576109621685</v>
      </c>
      <c r="I32" s="66">
        <f>IFERROR(CPC!I20/I30,0)</f>
        <v>0.61842959117456198</v>
      </c>
      <c r="J32" s="66">
        <f>IFERROR(CPC!J20/J30,0)</f>
        <v>0.57934585099939429</v>
      </c>
      <c r="K32" s="66">
        <f>IFERROR(CPC!K20/K30,0)</f>
        <v>0.73629743196627062</v>
      </c>
      <c r="L32" s="66">
        <f>IFERROR(CPC!L20/L30,0)</f>
        <v>0.61070636680392776</v>
      </c>
      <c r="M32" s="66">
        <f>IFERROR(CPC!M20/M30,0)</f>
        <v>0.52594403694648195</v>
      </c>
      <c r="N32" s="66">
        <f>IFERROR(CPC!N20/N30,0)</f>
        <v>0.57063142437591774</v>
      </c>
      <c r="O32" s="66">
        <f>IFERROR(CPC!O20/O30,0)</f>
        <v>0.57209175314036043</v>
      </c>
      <c r="P32" s="67">
        <f>IFERROR(CPC!P20/P30,0)</f>
        <v>0.59886770892847863</v>
      </c>
      <c r="Q32" s="68">
        <f t="shared" si="9"/>
        <v>0.57209175314036043</v>
      </c>
    </row>
    <row r="33" spans="1:17" ht="21" customHeight="1" x14ac:dyDescent="0.2">
      <c r="A33" s="22" t="s">
        <v>399</v>
      </c>
      <c r="B33" s="46" t="s">
        <v>362</v>
      </c>
      <c r="C33" s="60"/>
      <c r="D33" s="47">
        <f>CPC!D27-CPC!D33</f>
        <v>20000</v>
      </c>
      <c r="E33" s="47">
        <f>CPC!E27-CPC!E33</f>
        <v>74000</v>
      </c>
      <c r="F33" s="47">
        <f>CPC!F27-CPC!F33</f>
        <v>58000</v>
      </c>
      <c r="G33" s="47">
        <f>CPC!G27-CPC!G33</f>
        <v>65000</v>
      </c>
      <c r="H33" s="47">
        <f>CPC!H27-CPC!H33</f>
        <v>36000</v>
      </c>
      <c r="I33" s="47">
        <f>CPC!I27-CPC!I33</f>
        <v>5000</v>
      </c>
      <c r="J33" s="47">
        <f>CPC!J27-CPC!J33</f>
        <v>85000</v>
      </c>
      <c r="K33" s="47">
        <f>CPC!K27-CPC!K33</f>
        <v>26000</v>
      </c>
      <c r="L33" s="47">
        <f>CPC!L27-CPC!L33</f>
        <v>68000</v>
      </c>
      <c r="M33" s="47">
        <f>CPC!M27-CPC!M33</f>
        <v>-6000</v>
      </c>
      <c r="N33" s="47">
        <f>CPC!N27-CPC!N33</f>
        <v>36000</v>
      </c>
      <c r="O33" s="47">
        <f>CPC!O27-CPC!O33</f>
        <v>36000</v>
      </c>
      <c r="P33" s="61">
        <f>SUM(D33:O33)</f>
        <v>503000</v>
      </c>
      <c r="Q33" s="62">
        <f t="shared" si="9"/>
        <v>36000</v>
      </c>
    </row>
    <row r="34" spans="1:17" ht="21" customHeight="1" x14ac:dyDescent="0.2">
      <c r="A34" s="20" t="s">
        <v>400</v>
      </c>
      <c r="B34" s="46" t="s">
        <v>362</v>
      </c>
      <c r="C34" s="60"/>
      <c r="D34" s="47">
        <f t="shared" ref="D34:O34" si="11">D13+D33</f>
        <v>567500</v>
      </c>
      <c r="E34" s="47">
        <f t="shared" si="11"/>
        <v>1020500</v>
      </c>
      <c r="F34" s="47">
        <f t="shared" si="11"/>
        <v>1109500</v>
      </c>
      <c r="G34" s="47">
        <f t="shared" si="11"/>
        <v>880500</v>
      </c>
      <c r="H34" s="47">
        <f t="shared" si="11"/>
        <v>1137500</v>
      </c>
      <c r="I34" s="47">
        <f t="shared" si="11"/>
        <v>763500</v>
      </c>
      <c r="J34" s="47">
        <f t="shared" si="11"/>
        <v>1116500</v>
      </c>
      <c r="K34" s="47">
        <f t="shared" si="11"/>
        <v>356500</v>
      </c>
      <c r="L34" s="47">
        <f t="shared" si="11"/>
        <v>939500</v>
      </c>
      <c r="M34" s="47">
        <f t="shared" si="11"/>
        <v>1381500</v>
      </c>
      <c r="N34" s="47">
        <f t="shared" si="11"/>
        <v>1148500</v>
      </c>
      <c r="O34" s="47">
        <f t="shared" si="11"/>
        <v>1173500</v>
      </c>
      <c r="P34" s="61">
        <f>SUM(D34:O34)</f>
        <v>11595000</v>
      </c>
      <c r="Q34" s="62">
        <f t="shared" si="9"/>
        <v>1173500</v>
      </c>
    </row>
    <row r="35" spans="1:17" ht="21" customHeight="1" x14ac:dyDescent="0.2">
      <c r="A35" s="22" t="s">
        <v>401</v>
      </c>
      <c r="B35" s="46" t="s">
        <v>364</v>
      </c>
      <c r="C35" s="60" t="s">
        <v>402</v>
      </c>
      <c r="D35" s="63">
        <f t="shared" ref="D35:P35" si="12">IF(D13&lt;=0,"n.s.",IFERROR(D33/D13,"n.s."))</f>
        <v>3.6529680365296802E-2</v>
      </c>
      <c r="E35" s="63">
        <f t="shared" si="12"/>
        <v>7.8182778658214477E-2</v>
      </c>
      <c r="F35" s="63">
        <f t="shared" si="12"/>
        <v>5.515929624346172E-2</v>
      </c>
      <c r="G35" s="63">
        <f t="shared" si="12"/>
        <v>7.9705702023298589E-2</v>
      </c>
      <c r="H35" s="63">
        <f t="shared" si="12"/>
        <v>3.2682705401724924E-2</v>
      </c>
      <c r="I35" s="63">
        <f t="shared" si="12"/>
        <v>6.5919578114700065E-3</v>
      </c>
      <c r="J35" s="63">
        <f t="shared" si="12"/>
        <v>8.2404265632573928E-2</v>
      </c>
      <c r="K35" s="63">
        <f t="shared" si="12"/>
        <v>7.8668683812405452E-2</v>
      </c>
      <c r="L35" s="63">
        <f t="shared" si="12"/>
        <v>7.8026391279403334E-2</v>
      </c>
      <c r="M35" s="63">
        <f t="shared" si="12"/>
        <v>-4.3243243243243244E-3</v>
      </c>
      <c r="N35" s="63">
        <f t="shared" si="12"/>
        <v>3.2359550561797755E-2</v>
      </c>
      <c r="O35" s="63">
        <f t="shared" si="12"/>
        <v>3.1648351648351648E-2</v>
      </c>
      <c r="P35" s="75">
        <f t="shared" si="12"/>
        <v>4.5347998557518934E-2</v>
      </c>
      <c r="Q35" s="65">
        <f t="shared" si="9"/>
        <v>3.1648351648351648E-2</v>
      </c>
    </row>
    <row r="36" spans="1:17" ht="21" customHeight="1" x14ac:dyDescent="0.25">
      <c r="A36" s="34" t="s">
        <v>403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</row>
    <row r="37" spans="1:17" ht="21" customHeight="1" x14ac:dyDescent="0.2">
      <c r="A37" s="22" t="s">
        <v>404</v>
      </c>
      <c r="B37" s="46" t="s">
        <v>362</v>
      </c>
      <c r="C37" s="60"/>
      <c r="D37" s="47">
        <f>SUMPRODUCT((LEFT(Balance!$A$6:$A$75,3)="148")*Balance!F$6:F$75)</f>
        <v>23700000</v>
      </c>
      <c r="E37" s="47">
        <f>SUMPRODUCT((LEFT(Balance!$A$6:$A$75,3)="148")*Balance!G$6:G$75)</f>
        <v>23400000</v>
      </c>
      <c r="F37" s="47">
        <f>SUMPRODUCT((LEFT(Balance!$A$6:$A$75,3)="148")*Balance!H$6:H$75)</f>
        <v>23100000</v>
      </c>
      <c r="G37" s="47">
        <f>SUMPRODUCT((LEFT(Balance!$A$6:$A$75,3)="148")*Balance!I$6:I$75)</f>
        <v>22800000</v>
      </c>
      <c r="H37" s="47">
        <f>SUMPRODUCT((LEFT(Balance!$A$6:$A$75,3)="148")*Balance!J$6:J$75)</f>
        <v>22500000</v>
      </c>
      <c r="I37" s="47">
        <f>SUMPRODUCT((LEFT(Balance!$A$6:$A$75,3)="148")*Balance!K$6:K$75)</f>
        <v>22200000</v>
      </c>
      <c r="J37" s="47">
        <f>SUMPRODUCT((LEFT(Balance!$A$6:$A$75,3)="148")*Balance!L$6:L$75)</f>
        <v>21900000</v>
      </c>
      <c r="K37" s="47">
        <f>SUMPRODUCT((LEFT(Balance!$A$6:$A$75,3)="148")*Balance!M$6:M$75)</f>
        <v>21600000</v>
      </c>
      <c r="L37" s="47">
        <f>SUMPRODUCT((LEFT(Balance!$A$6:$A$75,3)="148")*Balance!N$6:N$75)</f>
        <v>21300000</v>
      </c>
      <c r="M37" s="47">
        <f>SUMPRODUCT((LEFT(Balance!$A$6:$A$75,3)="148")*Balance!O$6:O$75)</f>
        <v>21000000</v>
      </c>
      <c r="N37" s="47">
        <f>SUMPRODUCT((LEFT(Balance!$A$6:$A$75,3)="148")*Balance!P$6:P$75)</f>
        <v>20700000</v>
      </c>
      <c r="O37" s="47">
        <f>SUMPRODUCT((LEFT(Balance!$A$6:$A$75,3)="148")*Balance!Q$6:Q$75)</f>
        <v>20400000</v>
      </c>
      <c r="P37" s="61">
        <f>O37</f>
        <v>20400000</v>
      </c>
      <c r="Q37" s="62">
        <f t="shared" ref="Q37:Q50" si="13">IFERROR(INDEX($D37:$O37,MATCH($C$4,$D$9:$O$9,0)),"–")</f>
        <v>20400000</v>
      </c>
    </row>
    <row r="38" spans="1:17" ht="21" customHeight="1" x14ac:dyDescent="0.2">
      <c r="A38" s="22" t="s">
        <v>260</v>
      </c>
      <c r="B38" s="46" t="s">
        <v>362</v>
      </c>
      <c r="C38" s="60"/>
      <c r="D38" s="47">
        <f>CPC!D32</f>
        <v>104000</v>
      </c>
      <c r="E38" s="47">
        <f>CPC!E32</f>
        <v>102700</v>
      </c>
      <c r="F38" s="47">
        <f>CPC!F32</f>
        <v>101400</v>
      </c>
      <c r="G38" s="47">
        <f>CPC!G32</f>
        <v>100100</v>
      </c>
      <c r="H38" s="47">
        <f>CPC!H32</f>
        <v>98800</v>
      </c>
      <c r="I38" s="47">
        <f>CPC!I32</f>
        <v>97500</v>
      </c>
      <c r="J38" s="47">
        <f>CPC!J32</f>
        <v>96200</v>
      </c>
      <c r="K38" s="47">
        <f>CPC!K32</f>
        <v>94900</v>
      </c>
      <c r="L38" s="47">
        <f>CPC!L32</f>
        <v>93600</v>
      </c>
      <c r="M38" s="47">
        <f>CPC!M32</f>
        <v>92300</v>
      </c>
      <c r="N38" s="47">
        <f>CPC!N32</f>
        <v>91000</v>
      </c>
      <c r="O38" s="47">
        <f>CPC!O32</f>
        <v>89700</v>
      </c>
      <c r="P38" s="61">
        <f>SUM(D38:O38)</f>
        <v>1162200</v>
      </c>
      <c r="Q38" s="62">
        <f t="shared" si="13"/>
        <v>89700</v>
      </c>
    </row>
    <row r="39" spans="1:17" ht="21" customHeight="1" x14ac:dyDescent="0.2">
      <c r="A39" s="20" t="s">
        <v>405</v>
      </c>
      <c r="B39" s="46" t="s">
        <v>364</v>
      </c>
      <c r="C39" s="60" t="s">
        <v>406</v>
      </c>
      <c r="D39" s="66">
        <f t="shared" ref="D39:O39" si="14">IFERROR(D38*12/D37,0)</f>
        <v>5.2658227848101265E-2</v>
      </c>
      <c r="E39" s="66">
        <f t="shared" si="14"/>
        <v>5.2666666666666667E-2</v>
      </c>
      <c r="F39" s="66">
        <f t="shared" si="14"/>
        <v>5.2675324675324674E-2</v>
      </c>
      <c r="G39" s="66">
        <f t="shared" si="14"/>
        <v>5.2684210526315792E-2</v>
      </c>
      <c r="H39" s="66">
        <f t="shared" si="14"/>
        <v>5.2693333333333335E-2</v>
      </c>
      <c r="I39" s="66">
        <f t="shared" si="14"/>
        <v>5.2702702702702706E-2</v>
      </c>
      <c r="J39" s="66">
        <f t="shared" si="14"/>
        <v>5.2712328767123284E-2</v>
      </c>
      <c r="K39" s="66">
        <f t="shared" si="14"/>
        <v>5.2722222222222219E-2</v>
      </c>
      <c r="L39" s="66">
        <f t="shared" si="14"/>
        <v>5.2732394366197186E-2</v>
      </c>
      <c r="M39" s="66">
        <f t="shared" si="14"/>
        <v>5.274285714285714E-2</v>
      </c>
      <c r="N39" s="66">
        <f t="shared" si="14"/>
        <v>5.2753623188405797E-2</v>
      </c>
      <c r="O39" s="66">
        <f t="shared" si="14"/>
        <v>5.2764705882352943E-2</v>
      </c>
      <c r="P39" s="67">
        <f>IFERROR(P38/AVERAGE(D37:O37),0)</f>
        <v>5.2707482993197281E-2</v>
      </c>
      <c r="Q39" s="68">
        <f t="shared" si="13"/>
        <v>5.2764705882352943E-2</v>
      </c>
    </row>
    <row r="40" spans="1:17" ht="21" customHeight="1" x14ac:dyDescent="0.2">
      <c r="A40" s="22" t="s">
        <v>407</v>
      </c>
      <c r="B40" s="46" t="s">
        <v>362</v>
      </c>
      <c r="C40" s="60"/>
      <c r="D40" s="47">
        <f>SUMPRODUCT((LEFT(Balance!$A$6:$A$75,2)="31")*Balance!F$6:F$75)</f>
        <v>16392000</v>
      </c>
      <c r="E40" s="47">
        <f>SUMPRODUCT((LEFT(Balance!$A$6:$A$75,2)="31")*Balance!G$6:G$75)</f>
        <v>16614000</v>
      </c>
      <c r="F40" s="47">
        <f>SUMPRODUCT((LEFT(Balance!$A$6:$A$75,2)="31")*Balance!H$6:H$75)</f>
        <v>16628000</v>
      </c>
      <c r="G40" s="47">
        <f>SUMPRODUCT((LEFT(Balance!$A$6:$A$75,2)="31")*Balance!I$6:I$75)</f>
        <v>16430000</v>
      </c>
      <c r="H40" s="47">
        <f>SUMPRODUCT((LEFT(Balance!$A$6:$A$75,2)="31")*Balance!J$6:J$75)</f>
        <v>16898000</v>
      </c>
      <c r="I40" s="47">
        <f>SUMPRODUCT((LEFT(Balance!$A$6:$A$75,2)="31")*Balance!K$6:K$75)</f>
        <v>17023000</v>
      </c>
      <c r="J40" s="47">
        <f>SUMPRODUCT((LEFT(Balance!$A$6:$A$75,2)="31")*Balance!L$6:L$75)</f>
        <v>17131000</v>
      </c>
      <c r="K40" s="47">
        <f>SUMPRODUCT((LEFT(Balance!$A$6:$A$75,2)="31")*Balance!M$6:M$75)</f>
        <v>17149000</v>
      </c>
      <c r="L40" s="47">
        <f>SUMPRODUCT((LEFT(Balance!$A$6:$A$75,2)="31")*Balance!N$6:N$75)</f>
        <v>16855000</v>
      </c>
      <c r="M40" s="47">
        <f>SUMPRODUCT((LEFT(Balance!$A$6:$A$75,2)="31")*Balance!O$6:O$75)</f>
        <v>17035000</v>
      </c>
      <c r="N40" s="47">
        <f>SUMPRODUCT((LEFT(Balance!$A$6:$A$75,2)="31")*Balance!P$6:P$75)</f>
        <v>17103000</v>
      </c>
      <c r="O40" s="47">
        <f>SUMPRODUCT((LEFT(Balance!$A$6:$A$75,2)="31")*Balance!Q$6:Q$75)</f>
        <v>17363000</v>
      </c>
      <c r="P40" s="61">
        <f t="shared" ref="P40:P46" si="15">O40</f>
        <v>17363000</v>
      </c>
      <c r="Q40" s="62">
        <f t="shared" si="13"/>
        <v>17363000</v>
      </c>
    </row>
    <row r="41" spans="1:17" ht="21" customHeight="1" x14ac:dyDescent="0.2">
      <c r="A41" s="22" t="s">
        <v>408</v>
      </c>
      <c r="B41" s="46" t="s">
        <v>362</v>
      </c>
      <c r="C41" s="60"/>
      <c r="D41" s="47">
        <f>SUMPRODUCT((LEFT(Balance!$A$6:$A$75,3)="342")*Balance!F$6:F$75)</f>
        <v>13008000</v>
      </c>
      <c r="E41" s="47">
        <f>SUMPRODUCT((LEFT(Balance!$A$6:$A$75,3)="342")*Balance!G$6:G$75)</f>
        <v>14800000</v>
      </c>
      <c r="F41" s="47">
        <f>SUMPRODUCT((LEFT(Balance!$A$6:$A$75,3)="342")*Balance!H$6:H$75)</f>
        <v>15364000</v>
      </c>
      <c r="G41" s="47">
        <f>SUMPRODUCT((LEFT(Balance!$A$6:$A$75,3)="342")*Balance!I$6:I$75)</f>
        <v>15216000</v>
      </c>
      <c r="H41" s="47">
        <f>SUMPRODUCT((LEFT(Balance!$A$6:$A$75,3)="342")*Balance!J$6:J$75)</f>
        <v>14074000</v>
      </c>
      <c r="I41" s="47">
        <f>SUMPRODUCT((LEFT(Balance!$A$6:$A$75,3)="342")*Balance!K$6:K$75)</f>
        <v>16587000</v>
      </c>
      <c r="J41" s="47">
        <f>SUMPRODUCT((LEFT(Balance!$A$6:$A$75,3)="342")*Balance!L$6:L$75)</f>
        <v>15072000</v>
      </c>
      <c r="K41" s="47">
        <f>SUMPRODUCT((LEFT(Balance!$A$6:$A$75,3)="342")*Balance!M$6:M$75)</f>
        <v>11500000</v>
      </c>
      <c r="L41" s="47">
        <f>SUMPRODUCT((LEFT(Balance!$A$6:$A$75,3)="342")*Balance!N$6:N$75)</f>
        <v>15610000</v>
      </c>
      <c r="M41" s="47">
        <f>SUMPRODUCT((LEFT(Balance!$A$6:$A$75,3)="342")*Balance!O$6:O$75)</f>
        <v>15194000</v>
      </c>
      <c r="N41" s="47">
        <f>SUMPRODUCT((LEFT(Balance!$A$6:$A$75,3)="342")*Balance!P$6:P$75)</f>
        <v>16682000</v>
      </c>
      <c r="O41" s="47">
        <f>SUMPRODUCT((LEFT(Balance!$A$6:$A$75,3)="342")*Balance!Q$6:Q$75)</f>
        <v>15516000</v>
      </c>
      <c r="P41" s="61">
        <f t="shared" si="15"/>
        <v>15516000</v>
      </c>
      <c r="Q41" s="62">
        <f t="shared" si="13"/>
        <v>15516000</v>
      </c>
    </row>
    <row r="42" spans="1:17" ht="21" customHeight="1" x14ac:dyDescent="0.2">
      <c r="A42" s="22" t="s">
        <v>409</v>
      </c>
      <c r="B42" s="46" t="s">
        <v>362</v>
      </c>
      <c r="C42" s="60"/>
      <c r="D42" s="47">
        <f>SUMPRODUCT((LEFT(Balance!$A$6:$A$75,3)="394")*Balance!F$6:F$75)</f>
        <v>180000</v>
      </c>
      <c r="E42" s="47">
        <f>SUMPRODUCT((LEFT(Balance!$A$6:$A$75,3)="394")*Balance!G$6:G$75)</f>
        <v>180000</v>
      </c>
      <c r="F42" s="47">
        <f>SUMPRODUCT((LEFT(Balance!$A$6:$A$75,3)="394")*Balance!H$6:H$75)</f>
        <v>180000</v>
      </c>
      <c r="G42" s="47">
        <f>SUMPRODUCT((LEFT(Balance!$A$6:$A$75,3)="394")*Balance!I$6:I$75)</f>
        <v>180000</v>
      </c>
      <c r="H42" s="47">
        <f>SUMPRODUCT((LEFT(Balance!$A$6:$A$75,3)="394")*Balance!J$6:J$75)</f>
        <v>180000</v>
      </c>
      <c r="I42" s="47">
        <f>SUMPRODUCT((LEFT(Balance!$A$6:$A$75,3)="394")*Balance!K$6:K$75)</f>
        <v>240000</v>
      </c>
      <c r="J42" s="47">
        <f>SUMPRODUCT((LEFT(Balance!$A$6:$A$75,3)="394")*Balance!L$6:L$75)</f>
        <v>240000</v>
      </c>
      <c r="K42" s="47">
        <f>SUMPRODUCT((LEFT(Balance!$A$6:$A$75,3)="394")*Balance!M$6:M$75)</f>
        <v>240000</v>
      </c>
      <c r="L42" s="47">
        <f>SUMPRODUCT((LEFT(Balance!$A$6:$A$75,3)="394")*Balance!N$6:N$75)</f>
        <v>240000</v>
      </c>
      <c r="M42" s="47">
        <f>SUMPRODUCT((LEFT(Balance!$A$6:$A$75,3)="394")*Balance!O$6:O$75)</f>
        <v>240000</v>
      </c>
      <c r="N42" s="47">
        <f>SUMPRODUCT((LEFT(Balance!$A$6:$A$75,3)="394")*Balance!P$6:P$75)</f>
        <v>240000</v>
      </c>
      <c r="O42" s="47">
        <f>SUMPRODUCT((LEFT(Balance!$A$6:$A$75,3)="394")*Balance!Q$6:Q$75)</f>
        <v>285000</v>
      </c>
      <c r="P42" s="61">
        <f t="shared" si="15"/>
        <v>285000</v>
      </c>
      <c r="Q42" s="62">
        <f t="shared" si="13"/>
        <v>285000</v>
      </c>
    </row>
    <row r="43" spans="1:17" ht="21" customHeight="1" x14ac:dyDescent="0.2">
      <c r="A43" s="22" t="s">
        <v>410</v>
      </c>
      <c r="B43" s="46" t="s">
        <v>362</v>
      </c>
      <c r="C43" s="60"/>
      <c r="D43" s="47">
        <f>SUMPRODUCT((LEFT(Balance!$A$6:$A$75,3)="345")*Balance!F$6:F$75)</f>
        <v>252000</v>
      </c>
      <c r="E43" s="47">
        <f>SUMPRODUCT((LEFT(Balance!$A$6:$A$75,3)="345")*Balance!G$6:G$75)</f>
        <v>274000</v>
      </c>
      <c r="F43" s="47">
        <f>SUMPRODUCT((LEFT(Balance!$A$6:$A$75,3)="345")*Balance!H$6:H$75)</f>
        <v>307000</v>
      </c>
      <c r="G43" s="47">
        <f>SUMPRODUCT((LEFT(Balance!$A$6:$A$75,3)="345")*Balance!I$6:I$75)</f>
        <v>272000</v>
      </c>
      <c r="H43" s="47">
        <f>SUMPRODUCT((LEFT(Balance!$A$6:$A$75,3)="345")*Balance!J$6:J$75)</f>
        <v>323000</v>
      </c>
      <c r="I43" s="47">
        <f>SUMPRODUCT((LEFT(Balance!$A$6:$A$75,3)="345")*Balance!K$6:K$75)</f>
        <v>339000</v>
      </c>
      <c r="J43" s="47">
        <f>SUMPRODUCT((LEFT(Balance!$A$6:$A$75,3)="345")*Balance!L$6:L$75)</f>
        <v>293000</v>
      </c>
      <c r="K43" s="47">
        <f>SUMPRODUCT((LEFT(Balance!$A$6:$A$75,3)="345")*Balance!M$6:M$75)</f>
        <v>236000</v>
      </c>
      <c r="L43" s="47">
        <f>SUMPRODUCT((LEFT(Balance!$A$6:$A$75,3)="345")*Balance!N$6:N$75)</f>
        <v>279000</v>
      </c>
      <c r="M43" s="47">
        <f>SUMPRODUCT((LEFT(Balance!$A$6:$A$75,3)="345")*Balance!O$6:O$75)</f>
        <v>308000</v>
      </c>
      <c r="N43" s="47">
        <f>SUMPRODUCT((LEFT(Balance!$A$6:$A$75,3)="345")*Balance!P$6:P$75)</f>
        <v>317000</v>
      </c>
      <c r="O43" s="47">
        <f>SUMPRODUCT((LEFT(Balance!$A$6:$A$75,3)="345")*Balance!Q$6:Q$75)</f>
        <v>337000</v>
      </c>
      <c r="P43" s="61">
        <f t="shared" si="15"/>
        <v>337000</v>
      </c>
      <c r="Q43" s="62">
        <f t="shared" si="13"/>
        <v>337000</v>
      </c>
    </row>
    <row r="44" spans="1:17" ht="21" customHeight="1" x14ac:dyDescent="0.2">
      <c r="A44" s="22" t="s">
        <v>411</v>
      </c>
      <c r="B44" s="46" t="s">
        <v>362</v>
      </c>
      <c r="C44" s="60"/>
      <c r="D44" s="47">
        <f>SUMPRODUCT((LEFT(Balance!$A$6:$A$75,3)="441")*Balance!F$6:F$75)</f>
        <v>7571000</v>
      </c>
      <c r="E44" s="47">
        <f>SUMPRODUCT((LEFT(Balance!$A$6:$A$75,3)="441")*Balance!G$6:G$75)</f>
        <v>8119000</v>
      </c>
      <c r="F44" s="47">
        <f>SUMPRODUCT((LEFT(Balance!$A$6:$A$75,3)="441")*Balance!H$6:H$75)</f>
        <v>9137000</v>
      </c>
      <c r="G44" s="47">
        <f>SUMPRODUCT((LEFT(Balance!$A$6:$A$75,3)="441")*Balance!I$6:I$75)</f>
        <v>8719000</v>
      </c>
      <c r="H44" s="47">
        <f>SUMPRODUCT((LEFT(Balance!$A$6:$A$75,3)="441")*Balance!J$6:J$75)</f>
        <v>9313000</v>
      </c>
      <c r="I44" s="47">
        <f>SUMPRODUCT((LEFT(Balance!$A$6:$A$75,3)="441")*Balance!K$6:K$75)</f>
        <v>9788000</v>
      </c>
      <c r="J44" s="47">
        <f>SUMPRODUCT((LEFT(Balance!$A$6:$A$75,3)="441")*Balance!L$6:L$75)</f>
        <v>9884000</v>
      </c>
      <c r="K44" s="47">
        <f>SUMPRODUCT((LEFT(Balance!$A$6:$A$75,3)="441")*Balance!M$6:M$75)</f>
        <v>7297000</v>
      </c>
      <c r="L44" s="47">
        <f>SUMPRODUCT((LEFT(Balance!$A$6:$A$75,3)="441")*Balance!N$6:N$75)</f>
        <v>9104000</v>
      </c>
      <c r="M44" s="47">
        <f>SUMPRODUCT((LEFT(Balance!$A$6:$A$75,3)="441")*Balance!O$6:O$75)</f>
        <v>9824000</v>
      </c>
      <c r="N44" s="47">
        <f>SUMPRODUCT((LEFT(Balance!$A$6:$A$75,3)="441")*Balance!P$6:P$75)</f>
        <v>9664000</v>
      </c>
      <c r="O44" s="47">
        <f>SUMPRODUCT((LEFT(Balance!$A$6:$A$75,3)="441")*Balance!Q$6:Q$75)</f>
        <v>10985000</v>
      </c>
      <c r="P44" s="61">
        <f t="shared" si="15"/>
        <v>10985000</v>
      </c>
      <c r="Q44" s="62">
        <f t="shared" si="13"/>
        <v>10985000</v>
      </c>
    </row>
    <row r="45" spans="1:17" ht="21" customHeight="1" x14ac:dyDescent="0.2">
      <c r="A45" s="22" t="s">
        <v>412</v>
      </c>
      <c r="B45" s="46" t="s">
        <v>362</v>
      </c>
      <c r="C45" s="60"/>
      <c r="D45" s="47">
        <f>SUMPRODUCT((LEFT(Balance!$A$6:$A$75,3)="443")*Balance!F$6:F$75)+SUMPRODUCT((LEFT(Balance!$A$6:$A$75,3)="444")*Balance!F$6:F$75)+SUMPRODUCT((LEFT(Balance!$A$6:$A$75,3)="445")*Balance!F$6:F$75)</f>
        <v>809700</v>
      </c>
      <c r="E45" s="47">
        <f>SUMPRODUCT((LEFT(Balance!$A$6:$A$75,3)="443")*Balance!G$6:G$75)+SUMPRODUCT((LEFT(Balance!$A$6:$A$75,3)="444")*Balance!G$6:G$75)+SUMPRODUCT((LEFT(Balance!$A$6:$A$75,3)="445")*Balance!G$6:G$75)</f>
        <v>1010300</v>
      </c>
      <c r="F45" s="47">
        <f>SUMPRODUCT((LEFT(Balance!$A$6:$A$75,3)="443")*Balance!H$6:H$75)+SUMPRODUCT((LEFT(Balance!$A$6:$A$75,3)="444")*Balance!H$6:H$75)+SUMPRODUCT((LEFT(Balance!$A$6:$A$75,3)="445")*Balance!H$6:H$75)</f>
        <v>757000</v>
      </c>
      <c r="G45" s="47">
        <f>SUMPRODUCT((LEFT(Balance!$A$6:$A$75,3)="443")*Balance!I$6:I$75)+SUMPRODUCT((LEFT(Balance!$A$6:$A$75,3)="444")*Balance!I$6:I$75)+SUMPRODUCT((LEFT(Balance!$A$6:$A$75,3)="445")*Balance!I$6:I$75)</f>
        <v>903100</v>
      </c>
      <c r="H45" s="47">
        <f>SUMPRODUCT((LEFT(Balance!$A$6:$A$75,3)="443")*Balance!J$6:J$75)+SUMPRODUCT((LEFT(Balance!$A$6:$A$75,3)="444")*Balance!J$6:J$75)+SUMPRODUCT((LEFT(Balance!$A$6:$A$75,3)="445")*Balance!J$6:J$75)</f>
        <v>1124800</v>
      </c>
      <c r="I45" s="47">
        <f>SUMPRODUCT((LEFT(Balance!$A$6:$A$75,3)="443")*Balance!K$6:K$75)+SUMPRODUCT((LEFT(Balance!$A$6:$A$75,3)="444")*Balance!K$6:K$75)+SUMPRODUCT((LEFT(Balance!$A$6:$A$75,3)="445")*Balance!K$6:K$75)</f>
        <v>772000</v>
      </c>
      <c r="J45" s="47">
        <f>SUMPRODUCT((LEFT(Balance!$A$6:$A$75,3)="443")*Balance!L$6:L$75)+SUMPRODUCT((LEFT(Balance!$A$6:$A$75,3)="444")*Balance!L$6:L$75)+SUMPRODUCT((LEFT(Balance!$A$6:$A$75,3)="445")*Balance!L$6:L$75)</f>
        <v>965100</v>
      </c>
      <c r="K45" s="47">
        <f>SUMPRODUCT((LEFT(Balance!$A$6:$A$75,3)="443")*Balance!M$6:M$75)+SUMPRODUCT((LEFT(Balance!$A$6:$A$75,3)="444")*Balance!M$6:M$75)+SUMPRODUCT((LEFT(Balance!$A$6:$A$75,3)="445")*Balance!M$6:M$75)</f>
        <v>973400</v>
      </c>
      <c r="L45" s="47">
        <f>SUMPRODUCT((LEFT(Balance!$A$6:$A$75,3)="443")*Balance!N$6:N$75)+SUMPRODUCT((LEFT(Balance!$A$6:$A$75,3)="444")*Balance!N$6:N$75)+SUMPRODUCT((LEFT(Balance!$A$6:$A$75,3)="445")*Balance!N$6:N$75)</f>
        <v>762000</v>
      </c>
      <c r="M45" s="47">
        <f>SUMPRODUCT((LEFT(Balance!$A$6:$A$75,3)="443")*Balance!O$6:O$75)+SUMPRODUCT((LEFT(Balance!$A$6:$A$75,3)="444")*Balance!O$6:O$75)+SUMPRODUCT((LEFT(Balance!$A$6:$A$75,3)="445")*Balance!O$6:O$75)</f>
        <v>1049800</v>
      </c>
      <c r="N45" s="47">
        <f>SUMPRODUCT((LEFT(Balance!$A$6:$A$75,3)="443")*Balance!P$6:P$75)+SUMPRODUCT((LEFT(Balance!$A$6:$A$75,3)="444")*Balance!P$6:P$75)+SUMPRODUCT((LEFT(Balance!$A$6:$A$75,3)="445")*Balance!P$6:P$75)</f>
        <v>1263300</v>
      </c>
      <c r="O45" s="47">
        <f>SUMPRODUCT((LEFT(Balance!$A$6:$A$75,3)="443")*Balance!Q$6:Q$75)+SUMPRODUCT((LEFT(Balance!$A$6:$A$75,3)="444")*Balance!Q$6:Q$75)+SUMPRODUCT((LEFT(Balance!$A$6:$A$75,3)="445")*Balance!Q$6:Q$75)</f>
        <v>837000</v>
      </c>
      <c r="P45" s="61">
        <f t="shared" si="15"/>
        <v>837000</v>
      </c>
      <c r="Q45" s="62">
        <f t="shared" si="13"/>
        <v>837000</v>
      </c>
    </row>
    <row r="46" spans="1:17" ht="21" customHeight="1" x14ac:dyDescent="0.2">
      <c r="A46" s="20" t="s">
        <v>413</v>
      </c>
      <c r="B46" s="46" t="s">
        <v>362</v>
      </c>
      <c r="C46" s="60"/>
      <c r="D46" s="47">
        <f t="shared" ref="D46:O46" si="16">D40+D41-D42+D43-D44-D45</f>
        <v>21091300</v>
      </c>
      <c r="E46" s="47">
        <f t="shared" si="16"/>
        <v>22378700</v>
      </c>
      <c r="F46" s="47">
        <f t="shared" si="16"/>
        <v>22225000</v>
      </c>
      <c r="G46" s="47">
        <f t="shared" si="16"/>
        <v>22115900</v>
      </c>
      <c r="H46" s="47">
        <f t="shared" si="16"/>
        <v>20677200</v>
      </c>
      <c r="I46" s="47">
        <f t="shared" si="16"/>
        <v>23149000</v>
      </c>
      <c r="J46" s="47">
        <f t="shared" si="16"/>
        <v>21406900</v>
      </c>
      <c r="K46" s="47">
        <f t="shared" si="16"/>
        <v>20374600</v>
      </c>
      <c r="L46" s="47">
        <f t="shared" si="16"/>
        <v>22638000</v>
      </c>
      <c r="M46" s="47">
        <f t="shared" si="16"/>
        <v>21423200</v>
      </c>
      <c r="N46" s="47">
        <f t="shared" si="16"/>
        <v>22934700</v>
      </c>
      <c r="O46" s="47">
        <f t="shared" si="16"/>
        <v>21109000</v>
      </c>
      <c r="P46" s="61">
        <f t="shared" si="15"/>
        <v>21109000</v>
      </c>
      <c r="Q46" s="62">
        <f t="shared" si="13"/>
        <v>21109000</v>
      </c>
    </row>
    <row r="47" spans="1:17" ht="21" customHeight="1" x14ac:dyDescent="0.2">
      <c r="A47" s="20" t="s">
        <v>414</v>
      </c>
      <c r="B47" s="46" t="s">
        <v>415</v>
      </c>
      <c r="C47" s="60" t="s">
        <v>416</v>
      </c>
      <c r="D47" s="79">
        <f t="shared" ref="D47:O47" si="17">IFERROR(D41/D11*30,0)</f>
        <v>60.408668730650156</v>
      </c>
      <c r="E47" s="79">
        <f t="shared" si="17"/>
        <v>64.704167881084231</v>
      </c>
      <c r="F47" s="79">
        <f t="shared" si="17"/>
        <v>61.211155378486055</v>
      </c>
      <c r="G47" s="79">
        <f t="shared" si="17"/>
        <v>63.941728533408039</v>
      </c>
      <c r="H47" s="79">
        <f t="shared" si="17"/>
        <v>56.250999200639491</v>
      </c>
      <c r="I47" s="79">
        <f t="shared" si="17"/>
        <v>63.763454638646841</v>
      </c>
      <c r="J47" s="79">
        <f t="shared" si="17"/>
        <v>61.284901057197075</v>
      </c>
      <c r="K47" s="79">
        <f t="shared" si="17"/>
        <v>57.8083109919571</v>
      </c>
      <c r="L47" s="79">
        <f t="shared" si="17"/>
        <v>63.740302164148638</v>
      </c>
      <c r="M47" s="79">
        <f t="shared" si="17"/>
        <v>57.742589308335447</v>
      </c>
      <c r="N47" s="79">
        <f t="shared" si="17"/>
        <v>63.615101055040036</v>
      </c>
      <c r="O47" s="79">
        <f t="shared" si="17"/>
        <v>56.627737226277368</v>
      </c>
      <c r="P47" s="80">
        <f>IFERROR(O41/P11*360,0)</f>
        <v>63.492583120204607</v>
      </c>
      <c r="Q47" s="81">
        <f t="shared" si="13"/>
        <v>56.627737226277368</v>
      </c>
    </row>
    <row r="48" spans="1:17" ht="21" customHeight="1" x14ac:dyDescent="0.2">
      <c r="A48" s="22" t="s">
        <v>417</v>
      </c>
      <c r="B48" s="46" t="s">
        <v>415</v>
      </c>
      <c r="C48" s="60" t="s">
        <v>418</v>
      </c>
      <c r="D48" s="79">
        <f>IFERROR(D44/(CPC!D16+CPC!D17+CPC!D18)*30,0)</f>
        <v>63.056635202665184</v>
      </c>
      <c r="E48" s="79">
        <f>IFERROR(E44/(CPC!E16+CPC!E17+CPC!E18)*30,0)</f>
        <v>60.2299703264095</v>
      </c>
      <c r="F48" s="79">
        <f>IFERROR(F44/(CPC!F16+CPC!F17+CPC!F18)*30,0)</f>
        <v>65.373241116145962</v>
      </c>
      <c r="G48" s="79">
        <f>IFERROR(G44/(CPC!G16+CPC!G17+CPC!G18)*30,0)</f>
        <v>66.455792682926827</v>
      </c>
      <c r="H48" s="79">
        <f>IFERROR(H44/(CPC!H16+CPC!H17+CPC!H18)*30,0)</f>
        <v>62.713804713804713</v>
      </c>
      <c r="I48" s="79">
        <f>IFERROR(I44/(CPC!I16+CPC!I17+CPC!I18)*30,0)</f>
        <v>60.457072266831382</v>
      </c>
      <c r="J48" s="79">
        <f>IFERROR(J44/(CPC!J16+CPC!J17+CPC!J18)*30,0)</f>
        <v>70.465779467680619</v>
      </c>
      <c r="K48" s="79">
        <f>IFERROR(K44/(CPC!K16+CPC!K17+CPC!K18)*30,0)</f>
        <v>63.971361776738746</v>
      </c>
      <c r="L48" s="79">
        <f>IFERROR(L44/(CPC!L16+CPC!L17+CPC!L18)*30,0)</f>
        <v>67.353884093711457</v>
      </c>
      <c r="M48" s="79">
        <f>IFERROR(M44/(CPC!M16+CPC!M17+CPC!M18)*30,0)</f>
        <v>63.695699157121254</v>
      </c>
      <c r="N48" s="79">
        <f>IFERROR(N44/(CPC!N16+CPC!N17+CPC!N18)*30,0)</f>
        <v>66.786454733932274</v>
      </c>
      <c r="O48" s="79">
        <f>IFERROR(O44/(CPC!O16+CPC!O17+CPC!O18)*30,0)</f>
        <v>71.300302899177836</v>
      </c>
      <c r="P48" s="80">
        <f>IFERROR(O44/(CPC!P16+CPC!P17+CPC!P18)*360,0)</f>
        <v>78.523489932885909</v>
      </c>
      <c r="Q48" s="81">
        <f t="shared" si="13"/>
        <v>71.300302899177836</v>
      </c>
    </row>
    <row r="49" spans="1:17" ht="21" customHeight="1" x14ac:dyDescent="0.2">
      <c r="A49" s="22" t="s">
        <v>419</v>
      </c>
      <c r="B49" s="46" t="s">
        <v>415</v>
      </c>
      <c r="C49" s="60" t="s">
        <v>420</v>
      </c>
      <c r="D49" s="79">
        <f t="shared" ref="D49:O49" si="18">IFERROR(D40/D11*30,0)</f>
        <v>76.123839009287934</v>
      </c>
      <c r="E49" s="79">
        <f t="shared" si="18"/>
        <v>72.634800349752254</v>
      </c>
      <c r="F49" s="79">
        <f t="shared" si="18"/>
        <v>66.24701195219123</v>
      </c>
      <c r="G49" s="79">
        <f t="shared" si="18"/>
        <v>69.043283373021438</v>
      </c>
      <c r="H49" s="79">
        <f t="shared" si="18"/>
        <v>67.537969624300558</v>
      </c>
      <c r="I49" s="79">
        <f t="shared" si="18"/>
        <v>65.439518195797021</v>
      </c>
      <c r="J49" s="79">
        <f t="shared" si="18"/>
        <v>69.657088641908388</v>
      </c>
      <c r="K49" s="79">
        <f t="shared" si="18"/>
        <v>86.204758713136741</v>
      </c>
      <c r="L49" s="79">
        <f t="shared" si="18"/>
        <v>68.824009799918329</v>
      </c>
      <c r="M49" s="79">
        <f t="shared" si="18"/>
        <v>64.739042310615659</v>
      </c>
      <c r="N49" s="79">
        <f t="shared" si="18"/>
        <v>65.22054150247871</v>
      </c>
      <c r="O49" s="79">
        <f t="shared" si="18"/>
        <v>63.368613138686129</v>
      </c>
      <c r="P49" s="80">
        <f>IFERROR(O40/P11*360,0)</f>
        <v>71.05063938618926</v>
      </c>
      <c r="Q49" s="81">
        <f t="shared" si="13"/>
        <v>63.368613138686129</v>
      </c>
    </row>
    <row r="50" spans="1:17" ht="21" customHeight="1" x14ac:dyDescent="0.2">
      <c r="A50" s="20" t="s">
        <v>421</v>
      </c>
      <c r="B50" s="46" t="s">
        <v>415</v>
      </c>
      <c r="C50" s="60" t="s">
        <v>422</v>
      </c>
      <c r="D50" s="79">
        <f t="shared" ref="D50:P50" si="19">D47+D49-D48</f>
        <v>73.47587253727292</v>
      </c>
      <c r="E50" s="79">
        <f t="shared" si="19"/>
        <v>77.108997904426985</v>
      </c>
      <c r="F50" s="79">
        <f t="shared" si="19"/>
        <v>62.084926214531322</v>
      </c>
      <c r="G50" s="79">
        <f t="shared" si="19"/>
        <v>66.529219223502636</v>
      </c>
      <c r="H50" s="79">
        <f t="shared" si="19"/>
        <v>61.075164111135329</v>
      </c>
      <c r="I50" s="79">
        <f t="shared" si="19"/>
        <v>68.745900567612495</v>
      </c>
      <c r="J50" s="79">
        <f t="shared" si="19"/>
        <v>60.476210231424858</v>
      </c>
      <c r="K50" s="79">
        <f t="shared" si="19"/>
        <v>80.041707928355095</v>
      </c>
      <c r="L50" s="79">
        <f t="shared" si="19"/>
        <v>65.210427870355517</v>
      </c>
      <c r="M50" s="79">
        <f t="shared" si="19"/>
        <v>58.785932461829844</v>
      </c>
      <c r="N50" s="79">
        <f t="shared" si="19"/>
        <v>62.049187823586479</v>
      </c>
      <c r="O50" s="79">
        <f t="shared" si="19"/>
        <v>48.696047465785654</v>
      </c>
      <c r="P50" s="80">
        <f t="shared" si="19"/>
        <v>56.019732573507966</v>
      </c>
      <c r="Q50" s="81">
        <f t="shared" si="13"/>
        <v>48.696047465785654</v>
      </c>
    </row>
    <row r="52" spans="1:17" ht="19.5" customHeight="1" x14ac:dyDescent="0.2">
      <c r="A52" s="54" t="s">
        <v>423</v>
      </c>
    </row>
    <row r="53" spans="1:17" ht="19.5" customHeight="1" x14ac:dyDescent="0.2">
      <c r="A53" s="82" t="s">
        <v>424</v>
      </c>
      <c r="C53" s="52" t="s">
        <v>425</v>
      </c>
    </row>
    <row r="54" spans="1:17" ht="19.5" customHeight="1" x14ac:dyDescent="0.2">
      <c r="A54" s="83" t="s">
        <v>426</v>
      </c>
    </row>
    <row r="55" spans="1:17" ht="19.5" customHeight="1" x14ac:dyDescent="0.2">
      <c r="A55" s="84" t="s">
        <v>427</v>
      </c>
    </row>
    <row r="56" spans="1:17" ht="19.5" customHeight="1" x14ac:dyDescent="0.2">
      <c r="A56" s="85" t="s">
        <v>428</v>
      </c>
    </row>
    <row r="57" spans="1:17" ht="19.5" customHeight="1" x14ac:dyDescent="0.2">
      <c r="A57" s="86" t="s">
        <v>429</v>
      </c>
    </row>
    <row r="58" spans="1:17" ht="19.5" customHeight="1" x14ac:dyDescent="0.2"/>
  </sheetData>
  <conditionalFormatting sqref="D9:O9">
    <cfRule type="expression" dxfId="21" priority="23">
      <formula>D$9=$C$4</formula>
    </cfRule>
  </conditionalFormatting>
  <conditionalFormatting sqref="D10:O50">
    <cfRule type="expression" dxfId="20" priority="22">
      <formula>D$9=$C$4</formula>
    </cfRule>
  </conditionalFormatting>
  <conditionalFormatting sqref="D15:Q15">
    <cfRule type="expression" dxfId="19" priority="7">
      <formula>AND(ISNUMBER(D15),D15&gt;=0.1)</formula>
    </cfRule>
    <cfRule type="expression" dxfId="18" priority="8">
      <formula>AND(ISNUMBER(D15),AND(D15&gt;=0.05,D15&lt;0.1))</formula>
    </cfRule>
    <cfRule type="expression" dxfId="17" priority="9">
      <formula>AND(ISNUMBER(D15),D15&lt;0.05)</formula>
    </cfRule>
  </conditionalFormatting>
  <conditionalFormatting sqref="D17:Q17">
    <cfRule type="expression" dxfId="16" priority="2">
      <formula>OR(ISNUMBER(SEARCH("Levier fort",D17)),ISNUMBER(SEARCH("résiste",D17)),ISNUMBER(SEARCH("progresse",D17)))</formula>
    </cfRule>
    <cfRule type="expression" dxfId="15" priority="3">
      <formula>ISNUMBER(SEARCH("Proportionnel",D17))</formula>
    </cfRule>
    <cfRule type="expression" dxfId="14" priority="4">
      <formula>ISNUMBER(SEARCH("érodée",D17))</formula>
    </cfRule>
    <cfRule type="expression" dxfId="13" priority="5">
      <formula>OR(ISNUMBER(SEARCH("contraire",D17)),ISNUMBER(SEARCH("chute",D17)))</formula>
    </cfRule>
    <cfRule type="expression" dxfId="12" priority="6">
      <formula>D17="n.s."</formula>
    </cfRule>
  </conditionalFormatting>
  <conditionalFormatting sqref="D23:Q23">
    <cfRule type="expression" dxfId="11" priority="10">
      <formula>AND(ISNUMBER(D23),D23&gt;=0.05)</formula>
    </cfRule>
    <cfRule type="expression" dxfId="10" priority="11">
      <formula>AND(ISNUMBER(D23),AND(D23&gt;=0,D23&lt;0.05))</formula>
    </cfRule>
    <cfRule type="expression" dxfId="9" priority="12">
      <formula>AND(ISNUMBER(D23),D23&lt;0)</formula>
    </cfRule>
  </conditionalFormatting>
  <conditionalFormatting sqref="D32:Q32">
    <cfRule type="expression" dxfId="8" priority="16">
      <formula>AND(ISNUMBER(D32),D32&lt;0.65)</formula>
    </cfRule>
    <cfRule type="expression" dxfId="7" priority="17">
      <formula>AND(ISNUMBER(D32),AND(D32&gt;=0.65,D32&lt;=0.8))</formula>
    </cfRule>
    <cfRule type="expression" dxfId="6" priority="18">
      <formula>AND(ISNUMBER(D32),D32&gt;0.8)</formula>
    </cfRule>
  </conditionalFormatting>
  <conditionalFormatting sqref="D35:Q35">
    <cfRule type="expression" dxfId="5" priority="19">
      <formula>AND(ISNUMBER(D35),ABS(D35)&lt;0.1)</formula>
    </cfRule>
    <cfRule type="expression" dxfId="4" priority="20">
      <formula>AND(ISNUMBER(D35),AND(ABS(D35)&gt;=0.1,ABS(D35)&lt;=0.2))</formula>
    </cfRule>
    <cfRule type="expression" dxfId="3" priority="21">
      <formula>AND(ISNUMBER(D35),ABS(D35)&gt;0.2)</formula>
    </cfRule>
  </conditionalFormatting>
  <conditionalFormatting sqref="D47:Q47">
    <cfRule type="expression" dxfId="2" priority="13">
      <formula>AND(ISNUMBER(D47),D47&lt;=65)</formula>
    </cfRule>
    <cfRule type="expression" dxfId="1" priority="14">
      <formula>AND(ISNUMBER(D47),AND(D47&gt;65,D47&lt;=75))</formula>
    </cfRule>
    <cfRule type="expression" dxfId="0" priority="15">
      <formula>AND(ISNUMBER(D47),D47&gt;75)</formula>
    </cfRule>
  </conditionalFormatting>
  <dataValidations count="1">
    <dataValidation type="list" errorTitle="Mois invalide" error="Choisissez un mois dans la liste." promptTitle="Sélecteur de mois" prompt="Sélectionnez le mois à analyser" sqref="C4" xr:uid="{00000000-0002-0000-0400-000000000000}">
      <formula1>"Janvier,Février,Mars,Avril,Mai,Juin,Juillet,Août,Septembre,Octobre,Novembre,Décembre"</formula1>
      <formula2>0</formula2>
    </dataValidation>
  </dataValidations>
  <hyperlinks>
    <hyperlink ref="Q1" location="Accueil!A1" display="⌂ Accueil" xr:uid="{00000000-0004-0000-0400-000000000000}"/>
  </hyperlinks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A1E2C"/>
    <pageSetUpPr fitToPage="1"/>
  </sheetPr>
  <dimension ref="A1:T64"/>
  <sheetViews>
    <sheetView showGridLines="0" topLeftCell="A35" zoomScaleNormal="100" workbookViewId="0">
      <selection activeCell="D4" sqref="D4:E4"/>
    </sheetView>
  </sheetViews>
  <sheetFormatPr baseColWidth="10" defaultColWidth="8.7109375" defaultRowHeight="12.75" x14ac:dyDescent="0.2"/>
  <cols>
    <col min="1" max="1" width="2" customWidth="1"/>
    <col min="2" max="19" width="8.5703125" customWidth="1"/>
    <col min="20" max="20" width="16.28515625" customWidth="1"/>
  </cols>
  <sheetData>
    <row r="1" spans="1:20" ht="30" customHeight="1" x14ac:dyDescent="0.25">
      <c r="A1" s="27" t="s">
        <v>430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28" t="s">
        <v>46</v>
      </c>
    </row>
    <row r="2" spans="1:20" ht="15" x14ac:dyDescent="0.25">
      <c r="A2" s="29" t="s">
        <v>431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</row>
    <row r="4" spans="1:20" ht="15" x14ac:dyDescent="0.2">
      <c r="B4" s="54" t="s">
        <v>432</v>
      </c>
      <c r="D4" s="11" t="s">
        <v>65</v>
      </c>
      <c r="E4" s="11"/>
      <c r="F4" s="52" t="s">
        <v>433</v>
      </c>
    </row>
    <row r="6" spans="1:20" x14ac:dyDescent="0.2">
      <c r="B6" s="10" t="s">
        <v>434</v>
      </c>
      <c r="C6" s="10"/>
      <c r="D6" s="10"/>
      <c r="E6" s="10"/>
      <c r="G6" s="10" t="s">
        <v>435</v>
      </c>
      <c r="H6" s="10"/>
      <c r="I6" s="10"/>
      <c r="J6" s="10"/>
      <c r="L6" s="10" t="s">
        <v>436</v>
      </c>
      <c r="M6" s="10"/>
      <c r="N6" s="10"/>
      <c r="O6" s="10"/>
      <c r="Q6" s="10" t="s">
        <v>437</v>
      </c>
      <c r="R6" s="10"/>
      <c r="S6" s="10"/>
      <c r="T6" s="10"/>
    </row>
    <row r="7" spans="1:20" ht="19.5" customHeight="1" x14ac:dyDescent="0.2">
      <c r="B7" s="9">
        <f>IFERROR(VLOOKUP($D$4,$B$53:$M$64,2,FALSE()),"–")</f>
        <v>7867000</v>
      </c>
      <c r="C7" s="9"/>
      <c r="D7" s="9"/>
      <c r="E7" s="9"/>
      <c r="G7" s="8">
        <f>IFERROR(VLOOKUP($D$4,$B$53:$M$64,6,FALSE()),"–")</f>
        <v>63.615101055040036</v>
      </c>
      <c r="H7" s="8"/>
      <c r="I7" s="8"/>
      <c r="J7" s="8"/>
      <c r="L7" s="8">
        <f>IFERROR(VLOOKUP($D$4,$B$53:$M$64,7,FALSE()),"–")</f>
        <v>66.786454733932274</v>
      </c>
      <c r="M7" s="8"/>
      <c r="N7" s="8"/>
      <c r="O7" s="8"/>
      <c r="Q7" s="7">
        <f>IFERROR(VLOOKUP($D$4,$B$53:$M$64,8,FALSE()),"–")</f>
        <v>5.3414301648283535E-2</v>
      </c>
      <c r="R7" s="7"/>
      <c r="S7" s="7"/>
      <c r="T7" s="7"/>
    </row>
    <row r="8" spans="1:20" ht="19.5" customHeight="1" x14ac:dyDescent="0.2">
      <c r="B8" s="9"/>
      <c r="C8" s="9"/>
      <c r="D8" s="9"/>
      <c r="E8" s="9"/>
      <c r="G8" s="8"/>
      <c r="H8" s="8"/>
      <c r="I8" s="8"/>
      <c r="J8" s="8"/>
      <c r="L8" s="8"/>
      <c r="M8" s="8"/>
      <c r="N8" s="8"/>
      <c r="O8" s="8"/>
      <c r="Q8" s="7"/>
      <c r="R8" s="7"/>
      <c r="S8" s="7"/>
      <c r="T8" s="7"/>
    </row>
    <row r="9" spans="1:20" x14ac:dyDescent="0.2">
      <c r="B9" s="6" t="s">
        <v>438</v>
      </c>
      <c r="C9" s="6"/>
      <c r="D9" s="5">
        <f>IFERROR(VLOOKUP($D$4,$B$53:$M$64,9,FALSE()),"–")</f>
        <v>0.14141349942799034</v>
      </c>
      <c r="E9" s="5"/>
      <c r="G9" s="6" t="s">
        <v>358</v>
      </c>
      <c r="H9" s="6"/>
      <c r="I9" s="4" t="s">
        <v>416</v>
      </c>
      <c r="J9" s="4"/>
      <c r="L9" s="6" t="s">
        <v>439</v>
      </c>
      <c r="M9" s="6"/>
      <c r="N9" s="3">
        <f>IFERROR(VLOOKUP($D$4,$B$53:$M$64,10,FALSE()),"–")</f>
        <v>62.049187823586479</v>
      </c>
      <c r="O9" s="3"/>
      <c r="Q9" s="6" t="s">
        <v>440</v>
      </c>
      <c r="R9" s="6"/>
      <c r="S9" s="2">
        <f>IFERROR(VLOOKUP($D$4,$B$53:$M$64,3,FALSE()),"–")</f>
        <v>850000</v>
      </c>
      <c r="T9" s="2"/>
    </row>
    <row r="47" spans="2:2" x14ac:dyDescent="0.2">
      <c r="B47" s="52" t="s">
        <v>441</v>
      </c>
    </row>
    <row r="51" spans="2:13" x14ac:dyDescent="0.2">
      <c r="B51" s="52" t="s">
        <v>442</v>
      </c>
    </row>
    <row r="52" spans="2:13" ht="25.5" customHeight="1" x14ac:dyDescent="0.2">
      <c r="B52" s="87" t="s">
        <v>443</v>
      </c>
      <c r="C52" s="87" t="s">
        <v>444</v>
      </c>
      <c r="D52" s="87" t="s">
        <v>380</v>
      </c>
      <c r="E52" s="87" t="s">
        <v>394</v>
      </c>
      <c r="F52" s="87" t="s">
        <v>445</v>
      </c>
      <c r="G52" s="87" t="s">
        <v>446</v>
      </c>
      <c r="H52" s="87" t="s">
        <v>447</v>
      </c>
      <c r="I52" s="87" t="s">
        <v>448</v>
      </c>
      <c r="J52" s="87" t="s">
        <v>449</v>
      </c>
      <c r="K52" s="87" t="s">
        <v>450</v>
      </c>
      <c r="L52" s="87" t="s">
        <v>451</v>
      </c>
      <c r="M52" s="87" t="s">
        <v>452</v>
      </c>
    </row>
    <row r="53" spans="2:13" ht="24" customHeight="1" x14ac:dyDescent="0.2">
      <c r="B53" s="88" t="s">
        <v>55</v>
      </c>
      <c r="C53" s="89">
        <f>Reporting!D11</f>
        <v>6460000</v>
      </c>
      <c r="D53" s="89">
        <f>Reporting!D21</f>
        <v>374800</v>
      </c>
      <c r="E53" s="89">
        <f>Reporting!D30</f>
        <v>2759000</v>
      </c>
      <c r="F53" s="89">
        <f>Reporting!D13</f>
        <v>547500</v>
      </c>
      <c r="G53" s="90">
        <f>Reporting!D47</f>
        <v>60.408668730650156</v>
      </c>
      <c r="H53" s="90">
        <f>Reporting!D48</f>
        <v>63.056635202665184</v>
      </c>
      <c r="I53" s="91">
        <f>Reporting!D23</f>
        <v>8.5118702953097758E-2</v>
      </c>
      <c r="J53" s="92">
        <f>Reporting!D15</f>
        <v>8.4752321981424142E-2</v>
      </c>
      <c r="K53" s="90">
        <f>Reporting!D50</f>
        <v>73.47587253727292</v>
      </c>
      <c r="L53" s="89">
        <f t="shared" ref="L53:L64" si="0">IF(B53=$D$4,0,C53)</f>
        <v>6460000</v>
      </c>
      <c r="M53" s="89">
        <f t="shared" ref="M53:M64" si="1">IF(B53=$D$4,C53,0)</f>
        <v>0</v>
      </c>
    </row>
    <row r="54" spans="2:13" ht="24" customHeight="1" x14ac:dyDescent="0.2">
      <c r="B54" s="88" t="s">
        <v>56</v>
      </c>
      <c r="C54" s="89">
        <f>Reporting!E11</f>
        <v>6862000</v>
      </c>
      <c r="D54" s="89">
        <f>Reporting!E21</f>
        <v>738200</v>
      </c>
      <c r="E54" s="89">
        <f>Reporting!E30</f>
        <v>3165000</v>
      </c>
      <c r="F54" s="89">
        <f>Reporting!E13</f>
        <v>946500</v>
      </c>
      <c r="G54" s="90">
        <f>Reporting!E47</f>
        <v>64.704167881084231</v>
      </c>
      <c r="H54" s="90">
        <f>Reporting!E48</f>
        <v>60.2299703264095</v>
      </c>
      <c r="I54" s="91">
        <f>Reporting!E23</f>
        <v>7.1252358148309325E-2</v>
      </c>
      <c r="J54" s="92">
        <f>Reporting!E15</f>
        <v>0.13793354707082484</v>
      </c>
      <c r="K54" s="90">
        <f>Reporting!E50</f>
        <v>77.108997904426985</v>
      </c>
      <c r="L54" s="89">
        <f t="shared" si="0"/>
        <v>6862000</v>
      </c>
      <c r="M54" s="89">
        <f t="shared" si="1"/>
        <v>0</v>
      </c>
    </row>
    <row r="55" spans="2:13" ht="24" customHeight="1" x14ac:dyDescent="0.2">
      <c r="B55" s="88" t="s">
        <v>57</v>
      </c>
      <c r="C55" s="89">
        <f>Reporting!F11</f>
        <v>7530000</v>
      </c>
      <c r="D55" s="89">
        <f>Reporting!F21</f>
        <v>794500</v>
      </c>
      <c r="E55" s="89">
        <f>Reporting!F30</f>
        <v>3278000</v>
      </c>
      <c r="F55" s="89">
        <f>Reporting!F13</f>
        <v>1051500</v>
      </c>
      <c r="G55" s="90">
        <f>Reporting!F47</f>
        <v>61.211155378486055</v>
      </c>
      <c r="H55" s="90">
        <f>Reporting!F48</f>
        <v>65.373241116145962</v>
      </c>
      <c r="I55" s="91">
        <f>Reporting!F23</f>
        <v>8.6124401913875603E-2</v>
      </c>
      <c r="J55" s="92">
        <f>Reporting!F15</f>
        <v>0.1396414342629482</v>
      </c>
      <c r="K55" s="90">
        <f>Reporting!F50</f>
        <v>62.084926214531322</v>
      </c>
      <c r="L55" s="89">
        <f t="shared" si="0"/>
        <v>7530000</v>
      </c>
      <c r="M55" s="89">
        <f t="shared" si="1"/>
        <v>0</v>
      </c>
    </row>
    <row r="56" spans="2:13" ht="24" customHeight="1" x14ac:dyDescent="0.2">
      <c r="B56" s="88" t="s">
        <v>58</v>
      </c>
      <c r="C56" s="89">
        <f>Reporting!G11</f>
        <v>7139000</v>
      </c>
      <c r="D56" s="89">
        <f>Reporting!G21</f>
        <v>628300</v>
      </c>
      <c r="E56" s="89">
        <f>Reporting!G30</f>
        <v>3049000</v>
      </c>
      <c r="F56" s="89">
        <f>Reporting!G13</f>
        <v>815500</v>
      </c>
      <c r="G56" s="90">
        <f>Reporting!G47</f>
        <v>63.941728533408039</v>
      </c>
      <c r="H56" s="90">
        <f>Reporting!G48</f>
        <v>66.455792682926827</v>
      </c>
      <c r="I56" s="91">
        <f>Reporting!G23</f>
        <v>8.4772099447513849E-2</v>
      </c>
      <c r="J56" s="92">
        <f>Reporting!G15</f>
        <v>0.11423168510995937</v>
      </c>
      <c r="K56" s="90">
        <f>Reporting!G50</f>
        <v>66.529219223502636</v>
      </c>
      <c r="L56" s="89">
        <f t="shared" si="0"/>
        <v>7139000</v>
      </c>
      <c r="M56" s="89">
        <f t="shared" si="1"/>
        <v>0</v>
      </c>
    </row>
    <row r="57" spans="2:13" ht="24" customHeight="1" x14ac:dyDescent="0.2">
      <c r="B57" s="88" t="s">
        <v>59</v>
      </c>
      <c r="C57" s="89">
        <f>Reporting!H11</f>
        <v>7506000</v>
      </c>
      <c r="D57" s="89">
        <f>Reporting!H21</f>
        <v>835000</v>
      </c>
      <c r="E57" s="89">
        <f>Reporting!H30</f>
        <v>3357000</v>
      </c>
      <c r="F57" s="89">
        <f>Reporting!H13</f>
        <v>1101500</v>
      </c>
      <c r="G57" s="90">
        <f>Reporting!H47</f>
        <v>56.250999200639491</v>
      </c>
      <c r="H57" s="90">
        <f>Reporting!H48</f>
        <v>62.713804713804713</v>
      </c>
      <c r="I57" s="91">
        <f>Reporting!H23</f>
        <v>5.44260638969567E-2</v>
      </c>
      <c r="J57" s="92">
        <f>Reporting!H15</f>
        <v>0.14674926725286438</v>
      </c>
      <c r="K57" s="90">
        <f>Reporting!H50</f>
        <v>61.075164111135329</v>
      </c>
      <c r="L57" s="89">
        <f t="shared" si="0"/>
        <v>7506000</v>
      </c>
      <c r="M57" s="89">
        <f t="shared" si="1"/>
        <v>0</v>
      </c>
    </row>
    <row r="58" spans="2:13" ht="24" customHeight="1" x14ac:dyDescent="0.2">
      <c r="B58" s="88" t="s">
        <v>60</v>
      </c>
      <c r="C58" s="89">
        <f>Reporting!I11</f>
        <v>7804000</v>
      </c>
      <c r="D58" s="89">
        <f>Reporting!I21</f>
        <v>536800</v>
      </c>
      <c r="E58" s="89">
        <f>Reporting!I30</f>
        <v>3082000</v>
      </c>
      <c r="F58" s="89">
        <f>Reporting!I13</f>
        <v>758500</v>
      </c>
      <c r="G58" s="90">
        <f>Reporting!I47</f>
        <v>63.763454638646841</v>
      </c>
      <c r="H58" s="90">
        <f>Reporting!I48</f>
        <v>60.457072266831382</v>
      </c>
      <c r="I58" s="91">
        <f>Reporting!I23</f>
        <v>8.6419753086419693E-2</v>
      </c>
      <c r="J58" s="92">
        <f>Reporting!I15</f>
        <v>9.7193746796514602E-2</v>
      </c>
      <c r="K58" s="90">
        <f>Reporting!I50</f>
        <v>68.745900567612495</v>
      </c>
      <c r="L58" s="89">
        <f t="shared" si="0"/>
        <v>7804000</v>
      </c>
      <c r="M58" s="89">
        <f t="shared" si="1"/>
        <v>0</v>
      </c>
    </row>
    <row r="59" spans="2:13" ht="24" customHeight="1" x14ac:dyDescent="0.2">
      <c r="B59" s="88" t="s">
        <v>61</v>
      </c>
      <c r="C59" s="89">
        <f>Reporting!J11</f>
        <v>7378000</v>
      </c>
      <c r="D59" s="89">
        <f>Reporting!J21</f>
        <v>820200</v>
      </c>
      <c r="E59" s="89">
        <f>Reporting!J30</f>
        <v>3302000</v>
      </c>
      <c r="F59" s="89">
        <f>Reporting!J13</f>
        <v>1031500</v>
      </c>
      <c r="G59" s="90">
        <f>Reporting!J47</f>
        <v>61.284901057197075</v>
      </c>
      <c r="H59" s="90">
        <f>Reporting!J48</f>
        <v>70.465779467680619</v>
      </c>
      <c r="I59" s="91">
        <f>Reporting!J23</f>
        <v>8.2629355860612375E-2</v>
      </c>
      <c r="J59" s="92">
        <f>Reporting!J15</f>
        <v>0.13980753591759285</v>
      </c>
      <c r="K59" s="90">
        <f>Reporting!J50</f>
        <v>60.476210231424858</v>
      </c>
      <c r="L59" s="89">
        <f t="shared" si="0"/>
        <v>7378000</v>
      </c>
      <c r="M59" s="89">
        <f t="shared" si="1"/>
        <v>0</v>
      </c>
    </row>
    <row r="60" spans="2:13" ht="24" customHeight="1" x14ac:dyDescent="0.2">
      <c r="B60" s="88" t="s">
        <v>62</v>
      </c>
      <c r="C60" s="89">
        <f>Reporting!K11</f>
        <v>5968000</v>
      </c>
      <c r="D60" s="89">
        <f>Reporting!K21</f>
        <v>213300</v>
      </c>
      <c r="E60" s="89">
        <f>Reporting!K30</f>
        <v>2609000</v>
      </c>
      <c r="F60" s="89">
        <f>Reporting!K13</f>
        <v>330500</v>
      </c>
      <c r="G60" s="90">
        <f>Reporting!K47</f>
        <v>57.8083109919571</v>
      </c>
      <c r="H60" s="90">
        <f>Reporting!K48</f>
        <v>63.971361776738746</v>
      </c>
      <c r="I60" s="91">
        <f>Reporting!K23</f>
        <v>9.2165898617511566E-2</v>
      </c>
      <c r="J60" s="92">
        <f>Reporting!K15</f>
        <v>5.537868632707775E-2</v>
      </c>
      <c r="K60" s="90">
        <f>Reporting!K50</f>
        <v>80.041707928355095</v>
      </c>
      <c r="L60" s="89">
        <f t="shared" si="0"/>
        <v>5968000</v>
      </c>
      <c r="M60" s="89">
        <f t="shared" si="1"/>
        <v>0</v>
      </c>
    </row>
    <row r="61" spans="2:13" ht="24" customHeight="1" x14ac:dyDescent="0.2">
      <c r="B61" s="88" t="s">
        <v>63</v>
      </c>
      <c r="C61" s="89">
        <f>Reporting!L11</f>
        <v>7347000</v>
      </c>
      <c r="D61" s="89">
        <f>Reporting!L21</f>
        <v>680700</v>
      </c>
      <c r="E61" s="89">
        <f>Reporting!L30</f>
        <v>3157000</v>
      </c>
      <c r="F61" s="89">
        <f>Reporting!L13</f>
        <v>871500</v>
      </c>
      <c r="G61" s="90">
        <f>Reporting!L47</f>
        <v>63.740302164148638</v>
      </c>
      <c r="H61" s="90">
        <f>Reporting!L48</f>
        <v>67.353884093711457</v>
      </c>
      <c r="I61" s="91">
        <f>Reporting!L23</f>
        <v>8.8597473212857825E-2</v>
      </c>
      <c r="J61" s="92">
        <f>Reporting!L15</f>
        <v>0.11861984483462638</v>
      </c>
      <c r="K61" s="90">
        <f>Reporting!L50</f>
        <v>65.210427870355517</v>
      </c>
      <c r="L61" s="89">
        <f t="shared" si="0"/>
        <v>7347000</v>
      </c>
      <c r="M61" s="89">
        <f t="shared" si="1"/>
        <v>0</v>
      </c>
    </row>
    <row r="62" spans="2:13" ht="24" customHeight="1" x14ac:dyDescent="0.2">
      <c r="B62" s="88" t="s">
        <v>64</v>
      </c>
      <c r="C62" s="89">
        <f>Reporting!M11</f>
        <v>7894000</v>
      </c>
      <c r="D62" s="89">
        <f>Reporting!M21</f>
        <v>1067400</v>
      </c>
      <c r="E62" s="89">
        <f>Reporting!M30</f>
        <v>3681000</v>
      </c>
      <c r="F62" s="89">
        <f>Reporting!M13</f>
        <v>1387500</v>
      </c>
      <c r="G62" s="90">
        <f>Reporting!M47</f>
        <v>57.742589308335447</v>
      </c>
      <c r="H62" s="90">
        <f>Reporting!M48</f>
        <v>63.695699157121254</v>
      </c>
      <c r="I62" s="91">
        <f>Reporting!M23</f>
        <v>5.58907903848056E-2</v>
      </c>
      <c r="J62" s="92">
        <f>Reporting!M15</f>
        <v>0.17576640486445402</v>
      </c>
      <c r="K62" s="90">
        <f>Reporting!M50</f>
        <v>58.785932461829844</v>
      </c>
      <c r="L62" s="89">
        <f t="shared" si="0"/>
        <v>7894000</v>
      </c>
      <c r="M62" s="89">
        <f t="shared" si="1"/>
        <v>0</v>
      </c>
    </row>
    <row r="63" spans="2:13" ht="24" customHeight="1" x14ac:dyDescent="0.2">
      <c r="B63" s="88" t="s">
        <v>65</v>
      </c>
      <c r="C63" s="89">
        <f>Reporting!N11</f>
        <v>7867000</v>
      </c>
      <c r="D63" s="89">
        <f>Reporting!N21</f>
        <v>850000</v>
      </c>
      <c r="E63" s="89">
        <f>Reporting!N30</f>
        <v>3405000</v>
      </c>
      <c r="F63" s="89">
        <f>Reporting!N13</f>
        <v>1112500</v>
      </c>
      <c r="G63" s="90">
        <f>Reporting!N47</f>
        <v>63.615101055040036</v>
      </c>
      <c r="H63" s="90">
        <f>Reporting!N48</f>
        <v>66.786454733932274</v>
      </c>
      <c r="I63" s="91">
        <f>Reporting!N23</f>
        <v>5.3414301648283535E-2</v>
      </c>
      <c r="J63" s="92">
        <f>Reporting!N15</f>
        <v>0.14141349942799034</v>
      </c>
      <c r="K63" s="90">
        <f>Reporting!N50</f>
        <v>62.049187823586479</v>
      </c>
      <c r="L63" s="89">
        <f t="shared" si="0"/>
        <v>0</v>
      </c>
      <c r="M63" s="89">
        <f t="shared" si="1"/>
        <v>7867000</v>
      </c>
    </row>
    <row r="64" spans="2:13" ht="24" customHeight="1" x14ac:dyDescent="0.2">
      <c r="B64" s="88" t="s">
        <v>42</v>
      </c>
      <c r="C64" s="89">
        <f>Reporting!O11</f>
        <v>8220000</v>
      </c>
      <c r="D64" s="89">
        <f>Reporting!O21</f>
        <v>871000</v>
      </c>
      <c r="E64" s="89">
        <f>Reporting!O30</f>
        <v>3662000</v>
      </c>
      <c r="F64" s="89">
        <f>Reporting!O13</f>
        <v>1137500</v>
      </c>
      <c r="G64" s="90">
        <f>Reporting!O47</f>
        <v>56.627737226277368</v>
      </c>
      <c r="H64" s="90">
        <f>Reporting!O48</f>
        <v>71.300302899177836</v>
      </c>
      <c r="I64" s="91">
        <f>Reporting!O23</f>
        <v>9.4496104548881688E-2</v>
      </c>
      <c r="J64" s="92">
        <f>Reporting!O15</f>
        <v>0.13838199513381996</v>
      </c>
      <c r="K64" s="90">
        <f>Reporting!O50</f>
        <v>48.696047465785654</v>
      </c>
      <c r="L64" s="89">
        <f t="shared" si="0"/>
        <v>8220000</v>
      </c>
      <c r="M64" s="89">
        <f t="shared" si="1"/>
        <v>0</v>
      </c>
    </row>
  </sheetData>
  <mergeCells count="17">
    <mergeCell ref="B7:E8"/>
    <mergeCell ref="G7:J8"/>
    <mergeCell ref="L7:O8"/>
    <mergeCell ref="Q7:T8"/>
    <mergeCell ref="B9:C9"/>
    <mergeCell ref="D9:E9"/>
    <mergeCell ref="G9:H9"/>
    <mergeCell ref="I9:J9"/>
    <mergeCell ref="L9:M9"/>
    <mergeCell ref="N9:O9"/>
    <mergeCell ref="Q9:R9"/>
    <mergeCell ref="S9:T9"/>
    <mergeCell ref="D4:E4"/>
    <mergeCell ref="B6:E6"/>
    <mergeCell ref="G6:J6"/>
    <mergeCell ref="L6:O6"/>
    <mergeCell ref="Q6:T6"/>
  </mergeCells>
  <dataValidations count="1">
    <dataValidation type="list" promptTitle="Sélecteur de mois" prompt="Sélectionnez le mois à afficher" sqref="D4" xr:uid="{00000000-0002-0000-0500-000000000000}">
      <formula1>"Janvier,Février,Mars,Avril,Mai,Juin,Juillet,Août,Septembre,Octobre,Novembre,Décembre"</formula1>
      <formula2>0</formula2>
    </dataValidation>
  </dataValidations>
  <hyperlinks>
    <hyperlink ref="T1" location="Accueil!A1" display="⌂ Accueil" xr:uid="{00000000-0004-0000-0500-000000000000}"/>
  </hyperlink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9A54C"/>
    <pageSetUpPr fitToPage="1"/>
  </sheetPr>
  <dimension ref="A1:F33"/>
  <sheetViews>
    <sheetView showGridLines="0" topLeftCell="A16" zoomScaleNormal="100" workbookViewId="0">
      <selection activeCell="A28" sqref="A28:XFD33"/>
    </sheetView>
  </sheetViews>
  <sheetFormatPr baseColWidth="10" defaultColWidth="8.7109375" defaultRowHeight="12.75" x14ac:dyDescent="0.2"/>
  <cols>
    <col min="1" max="1" width="2" customWidth="1"/>
    <col min="2" max="2" width="30" customWidth="1"/>
    <col min="3" max="6" width="70.7109375" customWidth="1"/>
  </cols>
  <sheetData>
    <row r="1" spans="1:6" ht="30" customHeight="1" x14ac:dyDescent="0.25">
      <c r="A1" s="27" t="s">
        <v>453</v>
      </c>
      <c r="B1" s="13"/>
      <c r="C1" s="13"/>
      <c r="D1" s="13"/>
      <c r="E1" s="13"/>
      <c r="F1" s="28" t="s">
        <v>46</v>
      </c>
    </row>
    <row r="2" spans="1:6" ht="15" x14ac:dyDescent="0.25">
      <c r="A2" s="29" t="s">
        <v>454</v>
      </c>
      <c r="B2" s="15"/>
      <c r="C2" s="15"/>
      <c r="D2" s="15"/>
      <c r="E2" s="15"/>
      <c r="F2" s="15"/>
    </row>
    <row r="4" spans="1:6" x14ac:dyDescent="0.2">
      <c r="B4" s="93" t="s">
        <v>356</v>
      </c>
      <c r="C4" s="93" t="s">
        <v>455</v>
      </c>
      <c r="D4" s="93" t="s">
        <v>456</v>
      </c>
      <c r="E4" s="93" t="s">
        <v>457</v>
      </c>
    </row>
    <row r="5" spans="1:6" ht="15" x14ac:dyDescent="0.25">
      <c r="B5" s="34" t="s">
        <v>458</v>
      </c>
      <c r="C5" s="18"/>
      <c r="D5" s="18"/>
      <c r="E5" s="18"/>
    </row>
    <row r="6" spans="1:6" ht="30" customHeight="1" x14ac:dyDescent="0.2">
      <c r="B6" s="94" t="s">
        <v>370</v>
      </c>
      <c r="C6" s="95" t="s">
        <v>459</v>
      </c>
      <c r="D6" s="95" t="s">
        <v>460</v>
      </c>
      <c r="E6" s="96" t="s">
        <v>461</v>
      </c>
    </row>
    <row r="7" spans="1:6" ht="45" customHeight="1" x14ac:dyDescent="0.2">
      <c r="B7" s="94" t="s">
        <v>462</v>
      </c>
      <c r="C7" s="95" t="s">
        <v>463</v>
      </c>
      <c r="D7" s="95" t="s">
        <v>464</v>
      </c>
      <c r="E7" s="96" t="s">
        <v>465</v>
      </c>
    </row>
    <row r="8" spans="1:6" ht="60" customHeight="1" x14ac:dyDescent="0.2">
      <c r="B8" s="94" t="s">
        <v>466</v>
      </c>
      <c r="C8" s="95" t="s">
        <v>467</v>
      </c>
      <c r="D8" s="95" t="s">
        <v>468</v>
      </c>
      <c r="E8" s="96" t="s">
        <v>469</v>
      </c>
    </row>
    <row r="9" spans="1:6" ht="15" x14ac:dyDescent="0.25">
      <c r="B9" s="34" t="s">
        <v>470</v>
      </c>
      <c r="C9" s="18"/>
      <c r="D9" s="18"/>
      <c r="E9" s="18"/>
    </row>
    <row r="10" spans="1:6" ht="30" customHeight="1" x14ac:dyDescent="0.2">
      <c r="B10" s="94" t="s">
        <v>471</v>
      </c>
      <c r="C10" s="95" t="s">
        <v>472</v>
      </c>
      <c r="D10" s="95" t="s">
        <v>473</v>
      </c>
      <c r="E10" s="96" t="s">
        <v>474</v>
      </c>
    </row>
    <row r="11" spans="1:6" ht="30" customHeight="1" x14ac:dyDescent="0.2">
      <c r="B11" s="94" t="s">
        <v>475</v>
      </c>
      <c r="C11" s="95" t="s">
        <v>476</v>
      </c>
      <c r="D11" s="95" t="s">
        <v>477</v>
      </c>
      <c r="E11" s="96" t="s">
        <v>377</v>
      </c>
    </row>
    <row r="12" spans="1:6" ht="30" customHeight="1" x14ac:dyDescent="0.2">
      <c r="B12" s="94" t="s">
        <v>378</v>
      </c>
      <c r="C12" s="95" t="s">
        <v>478</v>
      </c>
      <c r="D12" s="95" t="s">
        <v>479</v>
      </c>
      <c r="E12" s="96" t="s">
        <v>379</v>
      </c>
    </row>
    <row r="13" spans="1:6" ht="30" customHeight="1" x14ac:dyDescent="0.2">
      <c r="B13" s="94" t="s">
        <v>480</v>
      </c>
      <c r="C13" s="95" t="s">
        <v>481</v>
      </c>
      <c r="D13" s="95" t="s">
        <v>482</v>
      </c>
      <c r="E13" s="96" t="s">
        <v>483</v>
      </c>
    </row>
    <row r="14" spans="1:6" ht="30" customHeight="1" x14ac:dyDescent="0.2">
      <c r="B14" s="94" t="s">
        <v>484</v>
      </c>
      <c r="C14" s="95" t="s">
        <v>485</v>
      </c>
      <c r="D14" s="95" t="s">
        <v>486</v>
      </c>
      <c r="E14" s="96" t="s">
        <v>385</v>
      </c>
    </row>
    <row r="15" spans="1:6" ht="30" customHeight="1" x14ac:dyDescent="0.2">
      <c r="B15" s="94" t="s">
        <v>487</v>
      </c>
      <c r="C15" s="95" t="s">
        <v>488</v>
      </c>
      <c r="D15" s="95" t="s">
        <v>489</v>
      </c>
      <c r="E15" s="96" t="s">
        <v>490</v>
      </c>
    </row>
    <row r="16" spans="1:6" ht="15" x14ac:dyDescent="0.25">
      <c r="B16" s="34" t="s">
        <v>491</v>
      </c>
      <c r="C16" s="18"/>
      <c r="D16" s="18"/>
      <c r="E16" s="18"/>
    </row>
    <row r="17" spans="2:5" ht="30" customHeight="1" x14ac:dyDescent="0.2">
      <c r="B17" s="94" t="s">
        <v>492</v>
      </c>
      <c r="C17" s="95" t="s">
        <v>493</v>
      </c>
      <c r="D17" s="95" t="s">
        <v>494</v>
      </c>
      <c r="E17" s="96" t="s">
        <v>396</v>
      </c>
    </row>
    <row r="18" spans="2:5" ht="30" customHeight="1" x14ac:dyDescent="0.2">
      <c r="B18" s="94" t="s">
        <v>495</v>
      </c>
      <c r="C18" s="95" t="s">
        <v>496</v>
      </c>
      <c r="D18" s="95" t="s">
        <v>497</v>
      </c>
      <c r="E18" s="96" t="s">
        <v>498</v>
      </c>
    </row>
    <row r="19" spans="2:5" ht="45" customHeight="1" x14ac:dyDescent="0.2">
      <c r="B19" s="94" t="s">
        <v>400</v>
      </c>
      <c r="C19" s="95" t="s">
        <v>499</v>
      </c>
      <c r="D19" s="95" t="s">
        <v>500</v>
      </c>
      <c r="E19" s="96" t="s">
        <v>501</v>
      </c>
    </row>
    <row r="20" spans="2:5" ht="15" x14ac:dyDescent="0.25">
      <c r="B20" s="34" t="s">
        <v>502</v>
      </c>
      <c r="C20" s="18"/>
      <c r="D20" s="18"/>
      <c r="E20" s="18"/>
    </row>
    <row r="21" spans="2:5" ht="30" customHeight="1" x14ac:dyDescent="0.2">
      <c r="B21" s="94" t="s">
        <v>503</v>
      </c>
      <c r="C21" s="95" t="s">
        <v>504</v>
      </c>
      <c r="D21" s="95" t="s">
        <v>505</v>
      </c>
      <c r="E21" s="96" t="s">
        <v>406</v>
      </c>
    </row>
    <row r="22" spans="2:5" ht="30" customHeight="1" x14ac:dyDescent="0.2">
      <c r="B22" s="94" t="s">
        <v>506</v>
      </c>
      <c r="C22" s="95" t="s">
        <v>507</v>
      </c>
      <c r="D22" s="95" t="s">
        <v>508</v>
      </c>
      <c r="E22" s="96" t="s">
        <v>509</v>
      </c>
    </row>
    <row r="23" spans="2:5" ht="30" customHeight="1" x14ac:dyDescent="0.2">
      <c r="B23" s="94" t="s">
        <v>446</v>
      </c>
      <c r="C23" s="95" t="s">
        <v>510</v>
      </c>
      <c r="D23" s="95" t="s">
        <v>511</v>
      </c>
      <c r="E23" s="96" t="s">
        <v>512</v>
      </c>
    </row>
    <row r="24" spans="2:5" ht="30" customHeight="1" x14ac:dyDescent="0.2">
      <c r="B24" s="94" t="s">
        <v>447</v>
      </c>
      <c r="C24" s="95" t="s">
        <v>513</v>
      </c>
      <c r="D24" s="95" t="s">
        <v>514</v>
      </c>
      <c r="E24" s="96" t="s">
        <v>515</v>
      </c>
    </row>
    <row r="25" spans="2:5" ht="30" customHeight="1" x14ac:dyDescent="0.2">
      <c r="B25" s="94" t="s">
        <v>516</v>
      </c>
      <c r="C25" s="95" t="s">
        <v>517</v>
      </c>
      <c r="D25" s="95" t="s">
        <v>518</v>
      </c>
      <c r="E25" s="96" t="s">
        <v>519</v>
      </c>
    </row>
    <row r="26" spans="2:5" ht="30" customHeight="1" x14ac:dyDescent="0.2">
      <c r="B26" s="94" t="s">
        <v>520</v>
      </c>
      <c r="C26" s="95" t="s">
        <v>521</v>
      </c>
      <c r="D26" s="95" t="s">
        <v>522</v>
      </c>
      <c r="E26" s="96" t="s">
        <v>523</v>
      </c>
    </row>
    <row r="28" spans="2:5" ht="24.75" customHeight="1" x14ac:dyDescent="0.2">
      <c r="B28" s="54" t="s">
        <v>524</v>
      </c>
    </row>
    <row r="29" spans="2:5" ht="24.75" customHeight="1" x14ac:dyDescent="0.2">
      <c r="B29" s="1" t="s">
        <v>424</v>
      </c>
      <c r="C29" s="1"/>
      <c r="D29" s="1"/>
    </row>
    <row r="30" spans="2:5" ht="24.75" customHeight="1" x14ac:dyDescent="0.2">
      <c r="B30" s="97" t="s">
        <v>426</v>
      </c>
      <c r="C30" s="97"/>
      <c r="D30" s="97"/>
    </row>
    <row r="31" spans="2:5" ht="24.75" customHeight="1" x14ac:dyDescent="0.2">
      <c r="B31" s="98" t="s">
        <v>427</v>
      </c>
      <c r="C31" s="98"/>
      <c r="D31" s="98"/>
    </row>
    <row r="32" spans="2:5" ht="24.75" customHeight="1" x14ac:dyDescent="0.2">
      <c r="B32" s="99" t="s">
        <v>428</v>
      </c>
      <c r="C32" s="99"/>
      <c r="D32" s="99"/>
    </row>
    <row r="33" spans="2:4" ht="24.75" customHeight="1" x14ac:dyDescent="0.2">
      <c r="B33" s="100" t="s">
        <v>429</v>
      </c>
      <c r="C33" s="100"/>
      <c r="D33" s="100"/>
    </row>
  </sheetData>
  <mergeCells count="5">
    <mergeCell ref="B29:D29"/>
    <mergeCell ref="B30:D30"/>
    <mergeCell ref="B31:D31"/>
    <mergeCell ref="B32:D32"/>
    <mergeCell ref="B33:D33"/>
  </mergeCells>
  <hyperlinks>
    <hyperlink ref="F1" location="Accueil!A1" display="⌂ Accueil" xr:uid="{00000000-0004-0000-0600-000000000000}"/>
  </hyperlink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Accueil</vt:lpstr>
      <vt:lpstr>Balance</vt:lpstr>
      <vt:lpstr>CPC</vt:lpstr>
      <vt:lpstr>ESG</vt:lpstr>
      <vt:lpstr>Reporting</vt:lpstr>
      <vt:lpstr>DASHBOARD</vt:lpstr>
      <vt:lpstr>Lecture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Yassine El Gamouz</cp:lastModifiedBy>
  <cp:revision>1</cp:revision>
  <dcterms:created xsi:type="dcterms:W3CDTF">2026-10-03T20:52:03Z</dcterms:created>
  <dcterms:modified xsi:type="dcterms:W3CDTF">2026-10-03T22:42:26Z</dcterms:modified>
  <dc:language>en-US</dc:language>
</cp:coreProperties>
</file>